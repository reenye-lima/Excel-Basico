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enye\Documents\Excel-Basico\Aula 04\"/>
    </mc:Choice>
  </mc:AlternateContent>
  <xr:revisionPtr revIDLastSave="0" documentId="13_ncr:1_{0EAE1F8E-4657-4608-8CD6-4027FE5D83D0}" xr6:coauthVersionLast="47" xr6:coauthVersionMax="47" xr10:uidLastSave="{00000000-0000-0000-0000-000000000000}"/>
  <bookViews>
    <workbookView xWindow="-120" yWindow="-120" windowWidth="29040" windowHeight="15720" xr2:uid="{5E32D5F6-3309-4D72-B9D4-A61546E9CCCB}"/>
  </bookViews>
  <sheets>
    <sheet name="Planilha1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8" i="1"/>
  <c r="G8" i="1"/>
  <c r="G9" i="1"/>
  <c r="F2" i="1"/>
  <c r="F3" i="1"/>
  <c r="F4" i="1"/>
  <c r="F5" i="1"/>
  <c r="F6" i="1"/>
  <c r="E10" i="1"/>
  <c r="C1" i="2"/>
  <c r="A5" i="2"/>
  <c r="E11" i="1"/>
  <c r="E12" i="1"/>
  <c r="E13" i="1"/>
  <c r="E14" i="1"/>
  <c r="D10" i="1"/>
  <c r="D11" i="1"/>
  <c r="D12" i="1"/>
  <c r="D13" i="1"/>
  <c r="D14" i="1"/>
  <c r="C11" i="1"/>
  <c r="C12" i="1"/>
  <c r="C13" i="1"/>
  <c r="C14" i="1"/>
  <c r="C10" i="1"/>
  <c r="B10" i="1"/>
  <c r="B11" i="1"/>
  <c r="B12" i="1"/>
  <c r="B13" i="1"/>
  <c r="B14" i="1"/>
  <c r="B15" i="1"/>
  <c r="A11" i="1"/>
  <c r="A12" i="1"/>
  <c r="A13" i="1"/>
  <c r="A14" i="1"/>
  <c r="A10" i="1"/>
</calcChain>
</file>

<file path=xl/sharedStrings.xml><?xml version="1.0" encoding="utf-8"?>
<sst xmlns="http://schemas.openxmlformats.org/spreadsheetml/2006/main" count="33" uniqueCount="33">
  <si>
    <t>Nome</t>
  </si>
  <si>
    <t>Sobrenome</t>
  </si>
  <si>
    <t>Cidade</t>
  </si>
  <si>
    <t>Data de Nascimento</t>
  </si>
  <si>
    <t>silva</t>
  </si>
  <si>
    <t>são paulo</t>
  </si>
  <si>
    <t>MARIA</t>
  </si>
  <si>
    <t>SOUZA</t>
  </si>
  <si>
    <t>rio de janeiro</t>
  </si>
  <si>
    <t>carlos</t>
  </si>
  <si>
    <t>Pereira</t>
  </si>
  <si>
    <t>belo horizonte</t>
  </si>
  <si>
    <t>ana</t>
  </si>
  <si>
    <t>lima</t>
  </si>
  <si>
    <t>curitiba</t>
  </si>
  <si>
    <t>ROBERTO</t>
  </si>
  <si>
    <t>ALVES</t>
  </si>
  <si>
    <t>porto alegre</t>
  </si>
  <si>
    <t>João</t>
  </si>
  <si>
    <t>Nome Completo</t>
  </si>
  <si>
    <t>Nome Formatado</t>
  </si>
  <si>
    <t>Email</t>
  </si>
  <si>
    <t>Nome Minusculo</t>
  </si>
  <si>
    <t>Sobrenome Minusculo</t>
  </si>
  <si>
    <t>Fulano</t>
  </si>
  <si>
    <t>Silva</t>
  </si>
  <si>
    <t>Rua Sem Saida</t>
  </si>
  <si>
    <t>Jd das Avenidas</t>
  </si>
  <si>
    <t>Jaguariuna</t>
  </si>
  <si>
    <t>Documento</t>
  </si>
  <si>
    <t>Cadastros Sem Documento</t>
  </si>
  <si>
    <t>Numero de Cadastros</t>
  </si>
  <si>
    <t>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</si>
</sst>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/>
    <xf numFmtId="14" fontId="0" fillId="0" borderId="0" xfId="0" applyNumberFormat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vertical="center" wrapText="1"/>
    </xf>
    <xf numFmtId="0" fontId="0" fillId="0" borderId="0" xfId="0" applyNumberFormat="1" applyAlignment="1">
      <alignment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E22AF-1B02-4739-8E61-20FBD18770E3}">
  <dimension ref="A1:H15"/>
  <sheetViews>
    <sheetView tabSelected="1" topLeftCell="D1" zoomScale="220" zoomScaleNormal="220" workbookViewId="0">
      <selection activeCell="H2" sqref="H2"/>
    </sheetView>
  </sheetViews>
  <sheetFormatPr defaultRowHeight="15" x14ac:dyDescent="0.25"/>
  <cols>
    <col min="1" max="4" width="25.7109375" customWidth="1"/>
    <col min="5" max="5" width="28" customWidth="1"/>
    <col min="6" max="6" width="24.42578125" customWidth="1"/>
    <col min="7" max="7" width="20.85546875" customWidth="1"/>
    <col min="8" max="8" width="18.140625" customWidth="1"/>
  </cols>
  <sheetData>
    <row r="1" spans="1:8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29</v>
      </c>
      <c r="G1" s="4"/>
      <c r="H1" s="4" t="s">
        <v>32</v>
      </c>
    </row>
    <row r="2" spans="1:8" x14ac:dyDescent="0.25">
      <c r="A2" s="1" t="s">
        <v>18</v>
      </c>
      <c r="B2" s="1" t="s">
        <v>4</v>
      </c>
      <c r="C2" s="1" t="s">
        <v>5</v>
      </c>
      <c r="D2" s="3">
        <v>38791</v>
      </c>
      <c r="E2">
        <v>12345678900</v>
      </c>
      <c r="F2">
        <f>LEN(E2)</f>
        <v>11</v>
      </c>
      <c r="G2" s="2"/>
      <c r="H2">
        <f ca="1">DATEDIF(D2,TODAY(),"Y")</f>
        <v>20</v>
      </c>
    </row>
    <row r="3" spans="1:8" x14ac:dyDescent="0.25">
      <c r="A3" s="1" t="s">
        <v>6</v>
      </c>
      <c r="B3" s="1" t="s">
        <v>7</v>
      </c>
      <c r="C3" s="1" t="s">
        <v>8</v>
      </c>
      <c r="D3" s="3">
        <v>36394</v>
      </c>
      <c r="E3">
        <v>1232484651</v>
      </c>
      <c r="F3">
        <f t="shared" ref="F3:F6" si="0">LEN(E3)</f>
        <v>10</v>
      </c>
      <c r="G3" s="2"/>
      <c r="H3">
        <f t="shared" ref="H3:H6" ca="1" si="1">DATEDIF(D3,TODAY(),"Y")</f>
        <v>26</v>
      </c>
    </row>
    <row r="4" spans="1:8" x14ac:dyDescent="0.25">
      <c r="A4" s="1" t="s">
        <v>9</v>
      </c>
      <c r="B4" s="1" t="s">
        <v>10</v>
      </c>
      <c r="C4" s="1" t="s">
        <v>11</v>
      </c>
      <c r="D4" s="2">
        <v>38362</v>
      </c>
      <c r="E4" s="6"/>
      <c r="F4">
        <f t="shared" si="0"/>
        <v>0</v>
      </c>
      <c r="G4" s="2"/>
      <c r="H4">
        <f t="shared" ca="1" si="1"/>
        <v>21</v>
      </c>
    </row>
    <row r="5" spans="1:8" x14ac:dyDescent="0.25">
      <c r="A5" s="1" t="s">
        <v>12</v>
      </c>
      <c r="B5" s="1" t="s">
        <v>13</v>
      </c>
      <c r="C5" s="1" t="s">
        <v>14</v>
      </c>
      <c r="D5" s="3">
        <v>35008</v>
      </c>
      <c r="E5">
        <v>12345678900</v>
      </c>
      <c r="F5">
        <f t="shared" si="0"/>
        <v>11</v>
      </c>
      <c r="G5" s="2"/>
      <c r="H5">
        <f t="shared" ca="1" si="1"/>
        <v>30</v>
      </c>
    </row>
    <row r="6" spans="1:8" x14ac:dyDescent="0.25">
      <c r="A6" s="1" t="s">
        <v>15</v>
      </c>
      <c r="B6" s="1" t="s">
        <v>16</v>
      </c>
      <c r="C6" s="1" t="s">
        <v>17</v>
      </c>
      <c r="D6" s="3">
        <v>32324</v>
      </c>
      <c r="F6">
        <f t="shared" si="0"/>
        <v>0</v>
      </c>
      <c r="G6" s="2"/>
      <c r="H6">
        <f t="shared" ca="1" si="1"/>
        <v>37</v>
      </c>
    </row>
    <row r="7" spans="1:8" x14ac:dyDescent="0.25">
      <c r="G7" s="2"/>
    </row>
    <row r="8" spans="1:8" ht="30" customHeight="1" x14ac:dyDescent="0.25">
      <c r="F8" t="s">
        <v>31</v>
      </c>
      <c r="G8" s="7">
        <f>COUNTA(A2:A6)</f>
        <v>5</v>
      </c>
      <c r="H8">
        <f>G8-G9</f>
        <v>3</v>
      </c>
    </row>
    <row r="9" spans="1:8" ht="30" x14ac:dyDescent="0.25">
      <c r="A9" s="5" t="s">
        <v>19</v>
      </c>
      <c r="B9" s="5" t="s">
        <v>20</v>
      </c>
      <c r="C9" s="5" t="s">
        <v>22</v>
      </c>
      <c r="D9" s="5" t="s">
        <v>23</v>
      </c>
      <c r="E9" s="5" t="s">
        <v>21</v>
      </c>
      <c r="F9" s="5" t="s">
        <v>30</v>
      </c>
      <c r="G9" s="7">
        <f>COUNTBLANK(E2:E6)</f>
        <v>2</v>
      </c>
    </row>
    <row r="10" spans="1:8" x14ac:dyDescent="0.25">
      <c r="A10" t="str">
        <f>_xlfn.TEXTJOIN(" ",TRUE,A2:B2)</f>
        <v>João silva</v>
      </c>
      <c r="B10" t="str">
        <f>PROPER(A10)</f>
        <v>João Silva</v>
      </c>
      <c r="C10" t="str">
        <f>LOWER(A2)</f>
        <v>joão</v>
      </c>
      <c r="D10" t="str">
        <f>LOWER(B2)</f>
        <v>silva</v>
      </c>
      <c r="E10" t="str">
        <f>_xlfn.TEXTJOIN(".",TRUE,C10:D10) &amp; "@senaisp.edu.br"</f>
        <v>joão.silva@senaisp.edu.br</v>
      </c>
    </row>
    <row r="11" spans="1:8" x14ac:dyDescent="0.25">
      <c r="A11" t="str">
        <f t="shared" ref="A11:A14" si="2">_xlfn.TEXTJOIN(" ",TRUE,A3:B3)</f>
        <v>MARIA SOUZA</v>
      </c>
      <c r="B11" t="str">
        <f t="shared" ref="B11:B15" si="3">PROPER(A11)</f>
        <v>Maria Souza</v>
      </c>
      <c r="C11" t="str">
        <f t="shared" ref="C11:C14" si="4">LOWER(A3)</f>
        <v>maria</v>
      </c>
      <c r="D11" t="str">
        <f t="shared" ref="D11:D14" si="5">LOWER(B3)</f>
        <v>souza</v>
      </c>
      <c r="E11" t="str">
        <f t="shared" ref="E11:E14" si="6">_xlfn.TEXTJOIN(".",TRUE,C11:D11) &amp; "@senaisp.edu.br"</f>
        <v>maria.souza@senaisp.edu.br</v>
      </c>
    </row>
    <row r="12" spans="1:8" x14ac:dyDescent="0.25">
      <c r="A12" t="str">
        <f t="shared" si="2"/>
        <v>carlos Pereira</v>
      </c>
      <c r="B12" t="str">
        <f t="shared" si="3"/>
        <v>Carlos Pereira</v>
      </c>
      <c r="C12" t="str">
        <f t="shared" si="4"/>
        <v>carlos</v>
      </c>
      <c r="D12" t="str">
        <f t="shared" si="5"/>
        <v>pereira</v>
      </c>
      <c r="E12" t="str">
        <f t="shared" si="6"/>
        <v>carlos.pereira@senaisp.edu.br</v>
      </c>
    </row>
    <row r="13" spans="1:8" x14ac:dyDescent="0.25">
      <c r="A13" t="str">
        <f t="shared" si="2"/>
        <v>ana lima</v>
      </c>
      <c r="B13" t="str">
        <f t="shared" si="3"/>
        <v>Ana Lima</v>
      </c>
      <c r="C13" t="str">
        <f t="shared" si="4"/>
        <v>ana</v>
      </c>
      <c r="D13" t="str">
        <f t="shared" si="5"/>
        <v>lima</v>
      </c>
      <c r="E13" t="str">
        <f t="shared" si="6"/>
        <v>ana.lima@senaisp.edu.br</v>
      </c>
    </row>
    <row r="14" spans="1:8" x14ac:dyDescent="0.25">
      <c r="A14" t="str">
        <f t="shared" si="2"/>
        <v>ROBERTO ALVES</v>
      </c>
      <c r="B14" t="str">
        <f t="shared" si="3"/>
        <v>Roberto Alves</v>
      </c>
      <c r="C14" t="str">
        <f t="shared" si="4"/>
        <v>roberto</v>
      </c>
      <c r="D14" t="str">
        <f t="shared" si="5"/>
        <v>alves</v>
      </c>
      <c r="E14" t="str">
        <f t="shared" si="6"/>
        <v>roberto.alves@senaisp.edu.br</v>
      </c>
    </row>
    <row r="15" spans="1:8" x14ac:dyDescent="0.25">
      <c r="B15" t="str">
        <f t="shared" si="3"/>
        <v/>
      </c>
    </row>
  </sheetData>
  <conditionalFormatting sqref="F2:F6">
    <cfRule type="cellIs" dxfId="0" priority="2" operator="greaterThan">
      <formula>11</formula>
    </cfRule>
    <cfRule type="cellIs" dxfId="1" priority="1" operator="lessThan">
      <formula>11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2C74A-3D3E-448B-AA73-0EAF39B66399}">
  <dimension ref="A1:D5"/>
  <sheetViews>
    <sheetView zoomScale="220" zoomScaleNormal="220" workbookViewId="0">
      <selection activeCell="C2" sqref="C2"/>
    </sheetView>
  </sheetViews>
  <sheetFormatPr defaultRowHeight="15" x14ac:dyDescent="0.25"/>
  <cols>
    <col min="1" max="1" width="14.140625" bestFit="1" customWidth="1"/>
    <col min="2" max="2" width="15.140625" bestFit="1" customWidth="1"/>
    <col min="3" max="3" width="12.28515625" customWidth="1"/>
  </cols>
  <sheetData>
    <row r="1" spans="1:4" x14ac:dyDescent="0.25">
      <c r="A1" t="s">
        <v>24</v>
      </c>
      <c r="B1" t="s">
        <v>25</v>
      </c>
      <c r="C1" t="str">
        <f>A1 &amp; " " &amp; B1</f>
        <v>Fulano Silva</v>
      </c>
    </row>
    <row r="3" spans="1:4" x14ac:dyDescent="0.25">
      <c r="A3" t="s">
        <v>26</v>
      </c>
      <c r="B3">
        <v>35</v>
      </c>
      <c r="C3" t="s">
        <v>27</v>
      </c>
      <c r="D3" t="s">
        <v>28</v>
      </c>
    </row>
    <row r="5" spans="1:4" x14ac:dyDescent="0.25">
      <c r="A5" t="str">
        <f>_xlfn.TEXTJOIN(",",TRUE,A3:D3)</f>
        <v>Rua Sem Saida,35,Jd das Avenidas,Jaguariuna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Reenye</dc:creator>
  <cp:lastModifiedBy>REENYE ALEXANDRE DE LIMA</cp:lastModifiedBy>
  <dcterms:created xsi:type="dcterms:W3CDTF">2026-04-29T19:36:36Z</dcterms:created>
  <dcterms:modified xsi:type="dcterms:W3CDTF">2026-04-30T23:40:01Z</dcterms:modified>
</cp:coreProperties>
</file>