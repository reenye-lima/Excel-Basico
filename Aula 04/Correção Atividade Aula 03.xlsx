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eenye\Documents\Excel-Basico\Aula 04\"/>
    </mc:Choice>
  </mc:AlternateContent>
  <xr:revisionPtr revIDLastSave="0" documentId="13_ncr:1_{D67D62DD-9DC2-4E93-9CA0-395EA051BC87}" xr6:coauthVersionLast="47" xr6:coauthVersionMax="47" xr10:uidLastSave="{00000000-0000-0000-0000-000000000000}"/>
  <bookViews>
    <workbookView xWindow="-120" yWindow="-120" windowWidth="29040" windowHeight="15720" activeTab="2" xr2:uid="{C373E67D-7436-4938-B9FA-7917CABDD7E6}"/>
  </bookViews>
  <sheets>
    <sheet name="Planilha1" sheetId="1" r:id="rId1"/>
    <sheet name="Planilha2" sheetId="2" r:id="rId2"/>
    <sheet name="Planilha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14" i="3" l="1"/>
  <c r="L15" i="3"/>
  <c r="L16" i="3"/>
  <c r="L17" i="3"/>
  <c r="L13" i="3"/>
  <c r="K14" i="3"/>
  <c r="K15" i="3"/>
  <c r="K16" i="3"/>
  <c r="K17" i="3"/>
  <c r="K13" i="3"/>
  <c r="H14" i="3"/>
  <c r="H15" i="3"/>
  <c r="H16" i="3"/>
  <c r="H17" i="3"/>
  <c r="H13" i="3"/>
  <c r="G14" i="3"/>
  <c r="G15" i="3"/>
  <c r="G16" i="3"/>
  <c r="G17" i="3"/>
  <c r="G13" i="3"/>
  <c r="L5" i="3"/>
  <c r="L6" i="3"/>
  <c r="L7" i="3"/>
  <c r="L8" i="3"/>
  <c r="L4" i="3"/>
  <c r="K5" i="3"/>
  <c r="K6" i="3"/>
  <c r="K7" i="3"/>
  <c r="K8" i="3"/>
  <c r="K4" i="3"/>
  <c r="J5" i="3"/>
  <c r="J6" i="3"/>
  <c r="J7" i="3"/>
  <c r="J8" i="3"/>
  <c r="J4" i="3"/>
  <c r="I5" i="3"/>
  <c r="I6" i="3"/>
  <c r="I7" i="3"/>
  <c r="I8" i="3"/>
  <c r="I4" i="3"/>
  <c r="H5" i="3"/>
  <c r="H6" i="3"/>
  <c r="H7" i="3"/>
  <c r="H8" i="3"/>
  <c r="H4" i="3"/>
  <c r="K12" i="2"/>
  <c r="K13" i="2"/>
  <c r="K14" i="2"/>
  <c r="K15" i="2"/>
  <c r="K16" i="2"/>
  <c r="J13" i="2"/>
  <c r="J14" i="2"/>
  <c r="J15" i="2"/>
  <c r="J16" i="2"/>
  <c r="J12" i="2"/>
  <c r="G13" i="2"/>
  <c r="G14" i="2"/>
  <c r="G15" i="2"/>
  <c r="G16" i="2"/>
  <c r="G12" i="2"/>
  <c r="F13" i="2"/>
  <c r="F14" i="2"/>
  <c r="F15" i="2"/>
  <c r="F16" i="2"/>
  <c r="F12" i="2"/>
  <c r="E13" i="2"/>
  <c r="E14" i="2"/>
  <c r="E15" i="2"/>
  <c r="E16" i="2"/>
  <c r="E12" i="2"/>
  <c r="D13" i="2"/>
  <c r="D14" i="2"/>
  <c r="D15" i="2"/>
  <c r="D16" i="2"/>
  <c r="D12" i="2"/>
  <c r="C13" i="2"/>
  <c r="C14" i="2"/>
  <c r="C15" i="2"/>
  <c r="C16" i="2"/>
  <c r="C12" i="2"/>
  <c r="C19" i="1"/>
  <c r="C18" i="1"/>
  <c r="F13" i="1"/>
  <c r="F14" i="1"/>
  <c r="F15" i="1"/>
  <c r="F16" i="1"/>
  <c r="F12" i="1"/>
  <c r="E13" i="1"/>
  <c r="E14" i="1"/>
  <c r="E15" i="1"/>
  <c r="E16" i="1"/>
  <c r="E12" i="1"/>
  <c r="L5" i="1"/>
  <c r="L6" i="1"/>
  <c r="L7" i="1"/>
  <c r="L8" i="1"/>
  <c r="L4" i="1"/>
  <c r="K5" i="1"/>
  <c r="K6" i="1"/>
  <c r="K7" i="1"/>
  <c r="K8" i="1"/>
  <c r="K4" i="1"/>
  <c r="J5" i="1"/>
  <c r="J6" i="1"/>
  <c r="J7" i="1"/>
  <c r="J8" i="1"/>
  <c r="J4" i="1"/>
  <c r="I5" i="1"/>
  <c r="I6" i="1"/>
  <c r="I7" i="1"/>
  <c r="I8" i="1"/>
  <c r="I4" i="1"/>
  <c r="H5" i="1"/>
  <c r="H6" i="1"/>
  <c r="H7" i="1"/>
  <c r="H8" i="1"/>
  <c r="H4" i="1"/>
</calcChain>
</file>

<file path=xl/sharedStrings.xml><?xml version="1.0" encoding="utf-8"?>
<sst xmlns="http://schemas.openxmlformats.org/spreadsheetml/2006/main" count="130" uniqueCount="76">
  <si>
    <t>Produto</t>
  </si>
  <si>
    <t>Média</t>
  </si>
  <si>
    <t>Maior</t>
  </si>
  <si>
    <t>Menor</t>
  </si>
  <si>
    <t>2ª Maior</t>
  </si>
  <si>
    <t>Total</t>
  </si>
  <si>
    <t>Camiseta</t>
  </si>
  <si>
    <t>Calça</t>
  </si>
  <si>
    <t>Boné</t>
  </si>
  <si>
    <t>Jaqueta</t>
  </si>
  <si>
    <t>Meia</t>
  </si>
  <si>
    <t>Segunda</t>
  </si>
  <si>
    <t>Terça</t>
  </si>
  <si>
    <t>Quarta</t>
  </si>
  <si>
    <t>Quinta</t>
  </si>
  <si>
    <t>Sexta</t>
  </si>
  <si>
    <t>Máximo</t>
  </si>
  <si>
    <t>Mínimo</t>
  </si>
  <si>
    <t>Relatório de Vendas</t>
  </si>
  <si>
    <t>Preço de Custo (R$)</t>
  </si>
  <si>
    <t>Preço de Venda (R$)</t>
  </si>
  <si>
    <t>Informações dos Produtos</t>
  </si>
  <si>
    <t>Lucro (R$)</t>
  </si>
  <si>
    <t>Faturamento (R$)</t>
  </si>
  <si>
    <t>Lucro Total (R$)</t>
  </si>
  <si>
    <t>Faturamento Total (R$)</t>
  </si>
  <si>
    <t>Animal</t>
  </si>
  <si>
    <t>Seg (kg)</t>
  </si>
  <si>
    <t>Ter (kg)</t>
  </si>
  <si>
    <t>Qua (kg)</t>
  </si>
  <si>
    <t>Leão</t>
  </si>
  <si>
    <t>Elefante</t>
  </si>
  <si>
    <t>Macaco</t>
  </si>
  <si>
    <t>Zebra</t>
  </si>
  <si>
    <t>Girafa</t>
  </si>
  <si>
    <t>Tabela de Consumo</t>
  </si>
  <si>
    <t>Média (kg)</t>
  </si>
  <si>
    <t>Maior Consumo</t>
  </si>
  <si>
    <t>Menor Consumo</t>
  </si>
  <si>
    <t>Total Consumido</t>
  </si>
  <si>
    <t>Tipo de Alimento</t>
  </si>
  <si>
    <t>Custo por Kg (R$)</t>
  </si>
  <si>
    <t>Carne</t>
  </si>
  <si>
    <t>Vegetais</t>
  </si>
  <si>
    <t>Frutas</t>
  </si>
  <si>
    <t>Folhas</t>
  </si>
  <si>
    <t>Tipo de Alimentação</t>
  </si>
  <si>
    <t>Análise de Consumo</t>
  </si>
  <si>
    <t>Custo Total (R$)</t>
  </si>
  <si>
    <t>Custo Médio (R$)</t>
  </si>
  <si>
    <t>Custo de Alimentação</t>
  </si>
  <si>
    <t>Música</t>
  </si>
  <si>
    <t>Usuário 1</t>
  </si>
  <si>
    <t>Usuário 2</t>
  </si>
  <si>
    <t>Usuário 3</t>
  </si>
  <si>
    <t>Reproduções por Usuário</t>
  </si>
  <si>
    <t>Análise de Reproduções</t>
  </si>
  <si>
    <t>Total de Reproduções</t>
  </si>
  <si>
    <t>Artista</t>
  </si>
  <si>
    <t>Duração (min)</t>
  </si>
  <si>
    <t>Evidências</t>
  </si>
  <si>
    <t>Chitãozinho &amp; Xororó</t>
  </si>
  <si>
    <t>Tempo Perdido</t>
  </si>
  <si>
    <t>Legião Urbana</t>
  </si>
  <si>
    <t>Anna Júlia</t>
  </si>
  <si>
    <t>Los Hermanos</t>
  </si>
  <si>
    <t>Dias de Luta, Dias de Glória</t>
  </si>
  <si>
    <t>Charlie Brown Jr.</t>
  </si>
  <si>
    <t>Velha Infância</t>
  </si>
  <si>
    <t>Tribalistas</t>
  </si>
  <si>
    <t>Informações das Músicas</t>
  </si>
  <si>
    <t>Tempo de Reprodução</t>
  </si>
  <si>
    <t>Tempo Total (min)</t>
  </si>
  <si>
    <t>Tempo Médio (min)</t>
  </si>
  <si>
    <t>Análise por Artista</t>
  </si>
  <si>
    <t>TAXA DE LUCRO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</si>
</sst>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5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7" borderId="5" xfId="0" applyFill="1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5" borderId="4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9" borderId="5" xfId="0" applyFont="1" applyFill="1" applyBorder="1" applyAlignment="1">
      <alignment horizontal="center" vertical="center" wrapText="1"/>
    </xf>
    <xf numFmtId="0" fontId="2" fillId="9" borderId="10" xfId="0" applyFont="1" applyFill="1" applyBorder="1" applyAlignment="1">
      <alignment horizontal="center" vertical="center" wrapText="1"/>
    </xf>
    <xf numFmtId="0" fontId="0" fillId="10" borderId="5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10" borderId="10" xfId="0" applyFill="1" applyBorder="1" applyAlignment="1">
      <alignment vertical="center" wrapText="1"/>
    </xf>
    <xf numFmtId="0" fontId="0" fillId="10" borderId="11" xfId="0" applyFill="1" applyBorder="1" applyAlignment="1">
      <alignment vertical="center" wrapText="1"/>
    </xf>
    <xf numFmtId="0" fontId="0" fillId="10" borderId="0" xfId="0" applyFill="1"/>
    <xf numFmtId="0" fontId="0" fillId="10" borderId="10" xfId="0" applyFill="1" applyBorder="1"/>
    <xf numFmtId="0" fontId="5" fillId="8" borderId="1" xfId="0" applyFont="1" applyFill="1" applyBorder="1" applyAlignment="1">
      <alignment horizontal="center" vertical="center"/>
    </xf>
    <xf numFmtId="0" fontId="5" fillId="8" borderId="7" xfId="0" applyFont="1" applyFill="1" applyBorder="1" applyAlignment="1">
      <alignment horizontal="center" vertical="center"/>
    </xf>
    <xf numFmtId="0" fontId="5" fillId="8" borderId="8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 wrapText="1"/>
    </xf>
    <xf numFmtId="44" fontId="0" fillId="0" borderId="1" xfId="0" applyNumberFormat="1" applyBorder="1"/>
    <xf numFmtId="9" fontId="0" fillId="0" borderId="0" xfId="0" applyNumberFormat="1"/>
    <xf numFmtId="44" fontId="0" fillId="0" borderId="1" xfId="1" applyFont="1" applyBorder="1" applyAlignment="1">
      <alignment horizontal="center" vertical="center" wrapText="1"/>
    </xf>
    <xf numFmtId="44" fontId="0" fillId="0" borderId="0" xfId="1" applyFont="1" applyAlignment="1">
      <alignment vertical="center" wrapText="1"/>
    </xf>
    <xf numFmtId="44" fontId="0" fillId="0" borderId="10" xfId="0" applyNumberFormat="1" applyBorder="1" applyAlignment="1">
      <alignment vertical="center" wrapText="1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1FC081-30C8-4151-833C-1CA4FE249502}">
  <dimension ref="B1:L19"/>
  <sheetViews>
    <sheetView showGridLines="0" topLeftCell="A9" zoomScale="190" zoomScaleNormal="190" workbookViewId="0">
      <selection activeCell="C1" sqref="B1:C1"/>
    </sheetView>
  </sheetViews>
  <sheetFormatPr defaultRowHeight="14.25" x14ac:dyDescent="0.2"/>
  <cols>
    <col min="2" max="12" width="22.75" customWidth="1"/>
  </cols>
  <sheetData>
    <row r="1" spans="2:12" x14ac:dyDescent="0.2">
      <c r="B1" t="s">
        <v>75</v>
      </c>
      <c r="C1" s="41">
        <v>0.15</v>
      </c>
    </row>
    <row r="2" spans="2:12" ht="24.95" customHeight="1" x14ac:dyDescent="0.2">
      <c r="B2" s="32" t="s">
        <v>18</v>
      </c>
      <c r="C2" s="32"/>
      <c r="D2" s="32"/>
      <c r="E2" s="32"/>
      <c r="F2" s="32"/>
      <c r="G2" s="32"/>
      <c r="H2" s="32"/>
      <c r="I2" s="32"/>
      <c r="J2" s="32"/>
      <c r="K2" s="32"/>
      <c r="L2" s="32"/>
    </row>
    <row r="3" spans="2:12" ht="24.95" customHeight="1" x14ac:dyDescent="0.2">
      <c r="B3" s="2" t="s">
        <v>0</v>
      </c>
      <c r="C3" s="2" t="s">
        <v>11</v>
      </c>
      <c r="D3" s="2" t="s">
        <v>12</v>
      </c>
      <c r="E3" s="2" t="s">
        <v>13</v>
      </c>
      <c r="F3" s="2" t="s">
        <v>14</v>
      </c>
      <c r="G3" s="2" t="s">
        <v>15</v>
      </c>
      <c r="H3" s="2" t="s">
        <v>1</v>
      </c>
      <c r="I3" s="2" t="s">
        <v>16</v>
      </c>
      <c r="J3" s="2" t="s">
        <v>17</v>
      </c>
      <c r="K3" s="2" t="s">
        <v>4</v>
      </c>
      <c r="L3" s="2" t="s">
        <v>5</v>
      </c>
    </row>
    <row r="4" spans="2:12" ht="20.100000000000001" customHeight="1" x14ac:dyDescent="0.2">
      <c r="B4" s="3" t="s">
        <v>6</v>
      </c>
      <c r="C4" s="4">
        <v>10</v>
      </c>
      <c r="D4" s="4">
        <v>12</v>
      </c>
      <c r="E4" s="4">
        <v>8</v>
      </c>
      <c r="F4" s="4">
        <v>10</v>
      </c>
      <c r="G4" s="4">
        <v>5</v>
      </c>
      <c r="H4" s="39">
        <f>AVERAGE(C4,D4,E4,F4,G4)</f>
        <v>9</v>
      </c>
      <c r="I4" s="3">
        <f>MAX(C4:G4)</f>
        <v>12</v>
      </c>
      <c r="J4" s="3">
        <f>MIN(C4:G4)</f>
        <v>5</v>
      </c>
      <c r="K4" s="3">
        <f>LARGE(C4:G4,2)</f>
        <v>10</v>
      </c>
      <c r="L4" s="3">
        <f>SUM(C4:G4)</f>
        <v>45</v>
      </c>
    </row>
    <row r="5" spans="2:12" ht="20.100000000000001" customHeight="1" x14ac:dyDescent="0.2">
      <c r="B5" s="3" t="s">
        <v>7</v>
      </c>
      <c r="C5" s="4">
        <v>5</v>
      </c>
      <c r="D5" s="4">
        <v>7</v>
      </c>
      <c r="E5" s="4">
        <v>6</v>
      </c>
      <c r="F5" s="4">
        <v>8</v>
      </c>
      <c r="G5" s="4">
        <v>10</v>
      </c>
      <c r="H5" s="39">
        <f t="shared" ref="H5:H8" si="0">AVERAGE(C5,D5,E5,F5,G5)</f>
        <v>7.2</v>
      </c>
      <c r="I5" s="3">
        <f t="shared" ref="I5:I8" si="1">MAX(C5:G5)</f>
        <v>10</v>
      </c>
      <c r="J5" s="3">
        <f t="shared" ref="J5:J8" si="2">MIN(C5:G5)</f>
        <v>5</v>
      </c>
      <c r="K5" s="3">
        <f t="shared" ref="K5:K8" si="3">LARGE(C5:G5,2)</f>
        <v>8</v>
      </c>
      <c r="L5" s="3">
        <f t="shared" ref="L5:L8" si="4">SUM(C5:G5)</f>
        <v>36</v>
      </c>
    </row>
    <row r="6" spans="2:12" ht="20.100000000000001" customHeight="1" x14ac:dyDescent="0.2">
      <c r="B6" s="3" t="s">
        <v>8</v>
      </c>
      <c r="C6" s="4">
        <v>8</v>
      </c>
      <c r="D6" s="4">
        <v>9</v>
      </c>
      <c r="E6" s="4">
        <v>10</v>
      </c>
      <c r="F6" s="4">
        <v>4</v>
      </c>
      <c r="G6" s="4">
        <v>7</v>
      </c>
      <c r="H6" s="39">
        <f t="shared" si="0"/>
        <v>7.6</v>
      </c>
      <c r="I6" s="3">
        <f t="shared" si="1"/>
        <v>10</v>
      </c>
      <c r="J6" s="3">
        <f t="shared" si="2"/>
        <v>4</v>
      </c>
      <c r="K6" s="3">
        <f t="shared" si="3"/>
        <v>9</v>
      </c>
      <c r="L6" s="3">
        <f t="shared" si="4"/>
        <v>38</v>
      </c>
    </row>
    <row r="7" spans="2:12" ht="20.100000000000001" customHeight="1" x14ac:dyDescent="0.2">
      <c r="B7" s="3" t="s">
        <v>9</v>
      </c>
      <c r="C7" s="4">
        <v>3</v>
      </c>
      <c r="D7" s="4">
        <v>4</v>
      </c>
      <c r="E7" s="4">
        <v>5</v>
      </c>
      <c r="F7" s="4">
        <v>5</v>
      </c>
      <c r="G7" s="4">
        <v>3</v>
      </c>
      <c r="H7" s="39">
        <f t="shared" si="0"/>
        <v>4</v>
      </c>
      <c r="I7" s="3">
        <f t="shared" si="1"/>
        <v>5</v>
      </c>
      <c r="J7" s="3">
        <f t="shared" si="2"/>
        <v>3</v>
      </c>
      <c r="K7" s="3">
        <f t="shared" si="3"/>
        <v>5</v>
      </c>
      <c r="L7" s="3">
        <f t="shared" si="4"/>
        <v>20</v>
      </c>
    </row>
    <row r="8" spans="2:12" ht="20.100000000000001" customHeight="1" x14ac:dyDescent="0.2">
      <c r="B8" s="3" t="s">
        <v>10</v>
      </c>
      <c r="C8" s="4">
        <v>15</v>
      </c>
      <c r="D8" s="4">
        <v>18</v>
      </c>
      <c r="E8" s="4">
        <v>12</v>
      </c>
      <c r="F8" s="4">
        <v>8</v>
      </c>
      <c r="G8" s="4">
        <v>4</v>
      </c>
      <c r="H8" s="39">
        <f t="shared" si="0"/>
        <v>11.4</v>
      </c>
      <c r="I8" s="3">
        <f t="shared" si="1"/>
        <v>18</v>
      </c>
      <c r="J8" s="3">
        <f t="shared" si="2"/>
        <v>4</v>
      </c>
      <c r="K8" s="3">
        <f t="shared" si="3"/>
        <v>15</v>
      </c>
      <c r="L8" s="3">
        <f t="shared" si="4"/>
        <v>57</v>
      </c>
    </row>
    <row r="9" spans="2:12" ht="31.5" customHeight="1" x14ac:dyDescent="0.2">
      <c r="F9" s="1"/>
    </row>
    <row r="10" spans="2:12" ht="24.95" customHeight="1" x14ac:dyDescent="0.2">
      <c r="B10" s="33" t="s">
        <v>21</v>
      </c>
      <c r="C10" s="33"/>
      <c r="D10" s="33"/>
      <c r="E10" s="33"/>
      <c r="F10" s="33"/>
    </row>
    <row r="11" spans="2:12" ht="20.100000000000001" customHeight="1" x14ac:dyDescent="0.2">
      <c r="B11" s="6" t="s">
        <v>0</v>
      </c>
      <c r="C11" s="6" t="s">
        <v>19</v>
      </c>
      <c r="D11" s="6" t="s">
        <v>20</v>
      </c>
      <c r="E11" s="6" t="s">
        <v>23</v>
      </c>
      <c r="F11" s="6" t="s">
        <v>22</v>
      </c>
    </row>
    <row r="12" spans="2:12" ht="20.100000000000001" customHeight="1" x14ac:dyDescent="0.2">
      <c r="B12" s="3" t="s">
        <v>6</v>
      </c>
      <c r="C12" s="5">
        <v>31.747</v>
      </c>
      <c r="D12" s="5">
        <v>59.9</v>
      </c>
      <c r="E12" s="5">
        <f>PRODUCT(L4,D12)</f>
        <v>2695.5</v>
      </c>
      <c r="F12" s="5">
        <f>E12-PRODUCT(C12,L4)</f>
        <v>1266.885</v>
      </c>
    </row>
    <row r="13" spans="2:12" ht="20.100000000000001" customHeight="1" x14ac:dyDescent="0.2">
      <c r="B13" s="3" t="s">
        <v>7</v>
      </c>
      <c r="C13" s="5">
        <v>39.960000000000008</v>
      </c>
      <c r="D13" s="5">
        <v>99.9</v>
      </c>
      <c r="E13" s="5">
        <f t="shared" ref="E13:E16" si="5">PRODUCT(L5,D13)</f>
        <v>3596.4</v>
      </c>
      <c r="F13" s="5">
        <f t="shared" ref="F13:F16" si="6">E13-PRODUCT(C13,L5)</f>
        <v>2157.8399999999997</v>
      </c>
    </row>
    <row r="14" spans="2:12" ht="20.100000000000001" customHeight="1" x14ac:dyDescent="0.2">
      <c r="B14" s="3" t="s">
        <v>8</v>
      </c>
      <c r="C14" s="5">
        <v>16.513999999999999</v>
      </c>
      <c r="D14" s="5">
        <v>35.9</v>
      </c>
      <c r="E14" s="5">
        <f t="shared" si="5"/>
        <v>1364.2</v>
      </c>
      <c r="F14" s="5">
        <f t="shared" si="6"/>
        <v>736.66800000000012</v>
      </c>
    </row>
    <row r="15" spans="2:12" ht="20.100000000000001" customHeight="1" x14ac:dyDescent="0.2">
      <c r="B15" s="3" t="s">
        <v>9</v>
      </c>
      <c r="C15" s="5">
        <v>70.146000000000001</v>
      </c>
      <c r="D15" s="5">
        <v>129.9</v>
      </c>
      <c r="E15" s="5">
        <f t="shared" si="5"/>
        <v>2598</v>
      </c>
      <c r="F15" s="5">
        <f t="shared" si="6"/>
        <v>1195.08</v>
      </c>
    </row>
    <row r="16" spans="2:12" ht="20.100000000000001" customHeight="1" x14ac:dyDescent="0.2">
      <c r="B16" s="3" t="s">
        <v>10</v>
      </c>
      <c r="C16" s="5">
        <v>8.5860000000000003</v>
      </c>
      <c r="D16" s="5">
        <v>15.9</v>
      </c>
      <c r="E16" s="5">
        <f t="shared" si="5"/>
        <v>906.30000000000007</v>
      </c>
      <c r="F16" s="5">
        <f t="shared" si="6"/>
        <v>416.89800000000002</v>
      </c>
    </row>
    <row r="17" spans="2:3" ht="39" customHeight="1" x14ac:dyDescent="0.2"/>
    <row r="18" spans="2:3" ht="24.95" customHeight="1" x14ac:dyDescent="0.2">
      <c r="B18" s="7" t="s">
        <v>25</v>
      </c>
      <c r="C18" s="40">
        <f>SUM(E12:E16)</f>
        <v>11160.399999999998</v>
      </c>
    </row>
    <row r="19" spans="2:3" ht="24.95" customHeight="1" x14ac:dyDescent="0.2">
      <c r="B19" s="7" t="s">
        <v>24</v>
      </c>
      <c r="C19" s="40">
        <f>SUM(F12:F16)</f>
        <v>5773.3710000000001</v>
      </c>
    </row>
  </sheetData>
  <mergeCells count="2">
    <mergeCell ref="B2:L2"/>
    <mergeCell ref="B10:F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21043-F668-46F1-945A-562113A22F07}">
  <dimension ref="B1:K17"/>
  <sheetViews>
    <sheetView showGridLines="0" workbookViewId="0">
      <selection activeCell="K13" sqref="K13"/>
    </sheetView>
  </sheetViews>
  <sheetFormatPr defaultRowHeight="14.25" x14ac:dyDescent="0.2"/>
  <cols>
    <col min="2" max="11" width="20.75" customWidth="1"/>
  </cols>
  <sheetData>
    <row r="1" spans="2:11" ht="39.75" customHeight="1" x14ac:dyDescent="0.2"/>
    <row r="2" spans="2:11" ht="24.95" customHeight="1" x14ac:dyDescent="0.2">
      <c r="B2" s="34" t="s">
        <v>35</v>
      </c>
      <c r="C2" s="34"/>
      <c r="D2" s="34"/>
      <c r="E2" s="34"/>
      <c r="G2" s="35" t="s">
        <v>46</v>
      </c>
      <c r="H2" s="35"/>
      <c r="I2" s="35"/>
    </row>
    <row r="3" spans="2:11" ht="24.95" customHeight="1" x14ac:dyDescent="0.2">
      <c r="B3" s="8" t="s">
        <v>26</v>
      </c>
      <c r="C3" s="8" t="s">
        <v>27</v>
      </c>
      <c r="D3" s="8" t="s">
        <v>28</v>
      </c>
      <c r="E3" s="8" t="s">
        <v>29</v>
      </c>
      <c r="G3" s="17" t="s">
        <v>26</v>
      </c>
      <c r="H3" s="17" t="s">
        <v>40</v>
      </c>
      <c r="I3" s="17" t="s">
        <v>41</v>
      </c>
    </row>
    <row r="4" spans="2:11" ht="24.95" customHeight="1" x14ac:dyDescent="0.2">
      <c r="B4" s="3" t="s">
        <v>30</v>
      </c>
      <c r="C4" s="4">
        <v>10</v>
      </c>
      <c r="D4" s="4">
        <v>12</v>
      </c>
      <c r="E4" s="4">
        <v>11</v>
      </c>
      <c r="G4" s="3" t="s">
        <v>30</v>
      </c>
      <c r="H4" s="4" t="s">
        <v>42</v>
      </c>
      <c r="I4" s="42">
        <v>25</v>
      </c>
    </row>
    <row r="5" spans="2:11" ht="24.95" customHeight="1" x14ac:dyDescent="0.2">
      <c r="B5" s="3" t="s">
        <v>31</v>
      </c>
      <c r="C5" s="4">
        <v>50</v>
      </c>
      <c r="D5" s="4">
        <v>55</v>
      </c>
      <c r="E5" s="4">
        <v>60</v>
      </c>
      <c r="G5" s="3" t="s">
        <v>31</v>
      </c>
      <c r="H5" s="4" t="s">
        <v>43</v>
      </c>
      <c r="I5" s="42">
        <v>8</v>
      </c>
    </row>
    <row r="6" spans="2:11" ht="24.95" customHeight="1" x14ac:dyDescent="0.2">
      <c r="B6" s="3" t="s">
        <v>32</v>
      </c>
      <c r="C6" s="4">
        <v>5</v>
      </c>
      <c r="D6" s="4">
        <v>6</v>
      </c>
      <c r="E6" s="4">
        <v>4</v>
      </c>
      <c r="G6" s="3" t="s">
        <v>32</v>
      </c>
      <c r="H6" s="4" t="s">
        <v>44</v>
      </c>
      <c r="I6" s="42">
        <v>6</v>
      </c>
    </row>
    <row r="7" spans="2:11" ht="24.95" customHeight="1" x14ac:dyDescent="0.2">
      <c r="B7" s="3" t="s">
        <v>33</v>
      </c>
      <c r="C7" s="4">
        <v>20</v>
      </c>
      <c r="D7" s="4">
        <v>22</v>
      </c>
      <c r="E7" s="4">
        <v>18</v>
      </c>
      <c r="G7" s="3" t="s">
        <v>33</v>
      </c>
      <c r="H7" s="4" t="s">
        <v>43</v>
      </c>
      <c r="I7" s="42">
        <v>7</v>
      </c>
    </row>
    <row r="8" spans="2:11" ht="24.95" customHeight="1" x14ac:dyDescent="0.2">
      <c r="B8" s="3" t="s">
        <v>34</v>
      </c>
      <c r="C8" s="4">
        <v>25</v>
      </c>
      <c r="D8" s="4">
        <v>28</v>
      </c>
      <c r="E8" s="4">
        <v>30</v>
      </c>
      <c r="G8" s="3" t="s">
        <v>34</v>
      </c>
      <c r="H8" s="4" t="s">
        <v>45</v>
      </c>
      <c r="I8" s="42">
        <v>5</v>
      </c>
    </row>
    <row r="9" spans="2:11" ht="45" customHeight="1" x14ac:dyDescent="0.2"/>
    <row r="10" spans="2:11" ht="30" customHeight="1" x14ac:dyDescent="0.2">
      <c r="B10" s="35" t="s">
        <v>47</v>
      </c>
      <c r="C10" s="35"/>
      <c r="D10" s="35"/>
      <c r="E10" s="35"/>
      <c r="F10" s="35"/>
      <c r="G10" s="35"/>
      <c r="I10" s="36" t="s">
        <v>50</v>
      </c>
      <c r="J10" s="37"/>
      <c r="K10" s="38"/>
    </row>
    <row r="11" spans="2:11" ht="24.95" customHeight="1" x14ac:dyDescent="0.2">
      <c r="B11" s="14" t="s">
        <v>26</v>
      </c>
      <c r="C11" s="15" t="s">
        <v>36</v>
      </c>
      <c r="D11" s="15" t="s">
        <v>37</v>
      </c>
      <c r="E11" s="15" t="s">
        <v>38</v>
      </c>
      <c r="F11" s="15" t="s">
        <v>4</v>
      </c>
      <c r="G11" s="16" t="s">
        <v>39</v>
      </c>
      <c r="I11" s="14" t="s">
        <v>26</v>
      </c>
      <c r="J11" s="15" t="s">
        <v>48</v>
      </c>
      <c r="K11" s="16" t="s">
        <v>49</v>
      </c>
    </row>
    <row r="12" spans="2:11" ht="24.95" customHeight="1" x14ac:dyDescent="0.2">
      <c r="B12" s="9" t="s">
        <v>30</v>
      </c>
      <c r="C12" s="10">
        <f>AVERAGE(C4:E4)</f>
        <v>11</v>
      </c>
      <c r="D12" s="10">
        <f>MAX(C4:E4)</f>
        <v>12</v>
      </c>
      <c r="E12" s="10">
        <f>SMALL(C4:E4,1)</f>
        <v>10</v>
      </c>
      <c r="F12" s="10">
        <f>LARGE(C4:E4,2)</f>
        <v>11</v>
      </c>
      <c r="G12" s="11">
        <f>SUM(C4:E4)</f>
        <v>33</v>
      </c>
      <c r="I12" s="9" t="s">
        <v>30</v>
      </c>
      <c r="J12" s="43">
        <f>PRODUCT(G12,I4)</f>
        <v>825</v>
      </c>
      <c r="K12" s="44">
        <f>C12*I4</f>
        <v>275</v>
      </c>
    </row>
    <row r="13" spans="2:11" ht="24.95" customHeight="1" x14ac:dyDescent="0.2">
      <c r="B13" s="12" t="s">
        <v>31</v>
      </c>
      <c r="C13" s="10">
        <f t="shared" ref="C13:C16" si="0">AVERAGE(C5:E5)</f>
        <v>55</v>
      </c>
      <c r="D13" s="10">
        <f t="shared" ref="D13:D16" si="1">MAX(C5:E5)</f>
        <v>60</v>
      </c>
      <c r="E13" s="10">
        <f t="shared" ref="E13:E16" si="2">SMALL(C5:E5,1)</f>
        <v>50</v>
      </c>
      <c r="F13" s="10">
        <f t="shared" ref="F13:F16" si="3">LARGE(C5:E5,2)</f>
        <v>55</v>
      </c>
      <c r="G13" s="11">
        <f t="shared" ref="G13:G16" si="4">SUM(C5:E5)</f>
        <v>165</v>
      </c>
      <c r="I13" s="12" t="s">
        <v>31</v>
      </c>
      <c r="J13" s="43">
        <f t="shared" ref="J13:J16" si="5">PRODUCT(G13,I5)</f>
        <v>1320</v>
      </c>
      <c r="K13" s="44">
        <f t="shared" ref="K13:K16" si="6">C13*I5</f>
        <v>440</v>
      </c>
    </row>
    <row r="14" spans="2:11" ht="24.95" customHeight="1" x14ac:dyDescent="0.2">
      <c r="B14" s="9" t="s">
        <v>32</v>
      </c>
      <c r="C14" s="10">
        <f t="shared" si="0"/>
        <v>5</v>
      </c>
      <c r="D14" s="10">
        <f t="shared" si="1"/>
        <v>6</v>
      </c>
      <c r="E14" s="10">
        <f t="shared" si="2"/>
        <v>4</v>
      </c>
      <c r="F14" s="10">
        <f t="shared" si="3"/>
        <v>5</v>
      </c>
      <c r="G14" s="11">
        <f t="shared" si="4"/>
        <v>15</v>
      </c>
      <c r="I14" s="9" t="s">
        <v>32</v>
      </c>
      <c r="J14" s="43">
        <f t="shared" si="5"/>
        <v>90</v>
      </c>
      <c r="K14" s="44">
        <f t="shared" si="6"/>
        <v>30</v>
      </c>
    </row>
    <row r="15" spans="2:11" ht="24.95" customHeight="1" x14ac:dyDescent="0.2">
      <c r="B15" s="12" t="s">
        <v>33</v>
      </c>
      <c r="C15" s="10">
        <f t="shared" si="0"/>
        <v>20</v>
      </c>
      <c r="D15" s="10">
        <f t="shared" si="1"/>
        <v>22</v>
      </c>
      <c r="E15" s="10">
        <f t="shared" si="2"/>
        <v>18</v>
      </c>
      <c r="F15" s="10">
        <f t="shared" si="3"/>
        <v>20</v>
      </c>
      <c r="G15" s="11">
        <f t="shared" si="4"/>
        <v>60</v>
      </c>
      <c r="I15" s="12" t="s">
        <v>33</v>
      </c>
      <c r="J15" s="43">
        <f t="shared" si="5"/>
        <v>420</v>
      </c>
      <c r="K15" s="44">
        <f t="shared" si="6"/>
        <v>140</v>
      </c>
    </row>
    <row r="16" spans="2:11" ht="24.95" customHeight="1" x14ac:dyDescent="0.2">
      <c r="B16" s="13" t="s">
        <v>34</v>
      </c>
      <c r="C16" s="10">
        <f t="shared" si="0"/>
        <v>27.666666666666668</v>
      </c>
      <c r="D16" s="10">
        <f t="shared" si="1"/>
        <v>30</v>
      </c>
      <c r="E16" s="10">
        <f t="shared" si="2"/>
        <v>25</v>
      </c>
      <c r="F16" s="10">
        <f t="shared" si="3"/>
        <v>28</v>
      </c>
      <c r="G16" s="11">
        <f t="shared" si="4"/>
        <v>83</v>
      </c>
      <c r="I16" s="13" t="s">
        <v>34</v>
      </c>
      <c r="J16" s="43">
        <f t="shared" si="5"/>
        <v>415</v>
      </c>
      <c r="K16" s="44">
        <f t="shared" si="6"/>
        <v>138.33333333333334</v>
      </c>
    </row>
    <row r="17" ht="25.5" customHeight="1" x14ac:dyDescent="0.2"/>
  </sheetData>
  <mergeCells count="4">
    <mergeCell ref="B2:E2"/>
    <mergeCell ref="G2:I2"/>
    <mergeCell ref="B10:G10"/>
    <mergeCell ref="I10:K10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60654-B4BF-46FE-8D11-C6504621BEE8}">
  <dimension ref="B2:L17"/>
  <sheetViews>
    <sheetView showGridLines="0" tabSelected="1" zoomScale="120" zoomScaleNormal="120" workbookViewId="0">
      <selection activeCell="L20" sqref="L20"/>
    </sheetView>
  </sheetViews>
  <sheetFormatPr defaultRowHeight="14.25" x14ac:dyDescent="0.2"/>
  <cols>
    <col min="1" max="1" width="3.25" customWidth="1"/>
    <col min="2" max="12" width="25.75" customWidth="1"/>
  </cols>
  <sheetData>
    <row r="2" spans="2:12" ht="24.95" customHeight="1" x14ac:dyDescent="0.2">
      <c r="B2" s="28" t="s">
        <v>55</v>
      </c>
      <c r="C2" s="28"/>
      <c r="D2" s="28"/>
      <c r="E2" s="28"/>
      <c r="G2" s="29" t="s">
        <v>56</v>
      </c>
      <c r="H2" s="30"/>
      <c r="I2" s="30"/>
      <c r="J2" s="30"/>
      <c r="K2" s="30"/>
      <c r="L2" s="31"/>
    </row>
    <row r="3" spans="2:12" ht="24.95" customHeight="1" x14ac:dyDescent="0.2">
      <c r="B3" s="18" t="s">
        <v>51</v>
      </c>
      <c r="C3" s="18" t="s">
        <v>52</v>
      </c>
      <c r="D3" s="18" t="s">
        <v>53</v>
      </c>
      <c r="E3" s="18" t="s">
        <v>54</v>
      </c>
      <c r="G3" s="20" t="s">
        <v>51</v>
      </c>
      <c r="H3" s="19" t="s">
        <v>1</v>
      </c>
      <c r="I3" s="19" t="s">
        <v>2</v>
      </c>
      <c r="J3" s="19" t="s">
        <v>3</v>
      </c>
      <c r="K3" s="19" t="s">
        <v>4</v>
      </c>
      <c r="L3" s="21" t="s">
        <v>57</v>
      </c>
    </row>
    <row r="4" spans="2:12" ht="24.95" customHeight="1" x14ac:dyDescent="0.2">
      <c r="B4" s="3" t="s">
        <v>60</v>
      </c>
      <c r="C4" s="4">
        <v>25</v>
      </c>
      <c r="D4" s="4">
        <v>30</v>
      </c>
      <c r="E4" s="4">
        <v>28</v>
      </c>
      <c r="G4" s="22" t="s">
        <v>60</v>
      </c>
      <c r="H4" s="26">
        <f>AVERAGE(C4:E4)</f>
        <v>27.666666666666668</v>
      </c>
      <c r="I4" s="26">
        <f>MAX(C4:E4)</f>
        <v>30</v>
      </c>
      <c r="J4" s="26">
        <f>MIN(C4:E4)</f>
        <v>25</v>
      </c>
      <c r="K4" s="26">
        <f>LARGE(C4:E4,2)</f>
        <v>28</v>
      </c>
      <c r="L4" s="27">
        <f>SUM(C4:E4)</f>
        <v>83</v>
      </c>
    </row>
    <row r="5" spans="2:12" ht="24.95" customHeight="1" x14ac:dyDescent="0.2">
      <c r="B5" s="3" t="s">
        <v>62</v>
      </c>
      <c r="C5" s="4">
        <v>20</v>
      </c>
      <c r="D5" s="4">
        <v>18</v>
      </c>
      <c r="E5" s="4">
        <v>22</v>
      </c>
      <c r="G5" s="9" t="s">
        <v>62</v>
      </c>
      <c r="H5" s="26">
        <f t="shared" ref="H5:H8" si="0">AVERAGE(C5:E5)</f>
        <v>20</v>
      </c>
      <c r="I5" s="26">
        <f t="shared" ref="I5:I8" si="1">MAX(C5:E5)</f>
        <v>22</v>
      </c>
      <c r="J5" s="26">
        <f t="shared" ref="J5:J8" si="2">MIN(C5:E5)</f>
        <v>18</v>
      </c>
      <c r="K5" s="26">
        <f t="shared" ref="K5:K8" si="3">LARGE(C5:E5,2)</f>
        <v>20</v>
      </c>
      <c r="L5" s="27">
        <f t="shared" ref="L5:L8" si="4">SUM(C5:E5)</f>
        <v>60</v>
      </c>
    </row>
    <row r="6" spans="2:12" ht="24.95" customHeight="1" x14ac:dyDescent="0.2">
      <c r="B6" s="3" t="s">
        <v>64</v>
      </c>
      <c r="C6" s="4">
        <v>15</v>
      </c>
      <c r="D6" s="4">
        <v>17</v>
      </c>
      <c r="E6" s="4">
        <v>14</v>
      </c>
      <c r="G6" s="22" t="s">
        <v>64</v>
      </c>
      <c r="H6" s="26">
        <f t="shared" si="0"/>
        <v>15.333333333333334</v>
      </c>
      <c r="I6" s="26">
        <f t="shared" si="1"/>
        <v>17</v>
      </c>
      <c r="J6" s="26">
        <f t="shared" si="2"/>
        <v>14</v>
      </c>
      <c r="K6" s="26">
        <f t="shared" si="3"/>
        <v>15</v>
      </c>
      <c r="L6" s="27">
        <f t="shared" si="4"/>
        <v>46</v>
      </c>
    </row>
    <row r="7" spans="2:12" ht="24.95" customHeight="1" x14ac:dyDescent="0.2">
      <c r="B7" s="3" t="s">
        <v>66</v>
      </c>
      <c r="C7" s="4">
        <v>18</v>
      </c>
      <c r="D7" s="4">
        <v>20</v>
      </c>
      <c r="E7" s="4">
        <v>19</v>
      </c>
      <c r="G7" s="9" t="s">
        <v>66</v>
      </c>
      <c r="H7" s="26">
        <f t="shared" si="0"/>
        <v>19</v>
      </c>
      <c r="I7" s="26">
        <f t="shared" si="1"/>
        <v>20</v>
      </c>
      <c r="J7" s="26">
        <f t="shared" si="2"/>
        <v>18</v>
      </c>
      <c r="K7" s="26">
        <f t="shared" si="3"/>
        <v>19</v>
      </c>
      <c r="L7" s="27">
        <f t="shared" si="4"/>
        <v>57</v>
      </c>
    </row>
    <row r="8" spans="2:12" ht="24.95" customHeight="1" x14ac:dyDescent="0.2">
      <c r="B8" s="3" t="s">
        <v>68</v>
      </c>
      <c r="C8" s="4">
        <v>22</v>
      </c>
      <c r="D8" s="4">
        <v>25</v>
      </c>
      <c r="E8" s="4">
        <v>24</v>
      </c>
      <c r="G8" s="25" t="s">
        <v>68</v>
      </c>
      <c r="H8" s="26">
        <f t="shared" si="0"/>
        <v>23.666666666666668</v>
      </c>
      <c r="I8" s="26">
        <f t="shared" si="1"/>
        <v>25</v>
      </c>
      <c r="J8" s="26">
        <f t="shared" si="2"/>
        <v>22</v>
      </c>
      <c r="K8" s="26">
        <f t="shared" si="3"/>
        <v>24</v>
      </c>
      <c r="L8" s="27">
        <f t="shared" si="4"/>
        <v>71</v>
      </c>
    </row>
    <row r="11" spans="2:12" ht="24.95" customHeight="1" x14ac:dyDescent="0.2">
      <c r="B11" s="28" t="s">
        <v>70</v>
      </c>
      <c r="C11" s="28"/>
      <c r="D11" s="28"/>
      <c r="F11" s="29" t="s">
        <v>71</v>
      </c>
      <c r="G11" s="30"/>
      <c r="H11" s="31"/>
      <c r="J11" s="29" t="s">
        <v>74</v>
      </c>
      <c r="K11" s="30"/>
      <c r="L11" s="31"/>
    </row>
    <row r="12" spans="2:12" ht="24.95" customHeight="1" x14ac:dyDescent="0.2">
      <c r="B12" s="18" t="s">
        <v>51</v>
      </c>
      <c r="C12" s="18" t="s">
        <v>58</v>
      </c>
      <c r="D12" s="18" t="s">
        <v>59</v>
      </c>
      <c r="F12" s="20" t="s">
        <v>51</v>
      </c>
      <c r="G12" s="19" t="s">
        <v>72</v>
      </c>
      <c r="H12" s="21" t="s">
        <v>73</v>
      </c>
      <c r="J12" s="20" t="s">
        <v>58</v>
      </c>
      <c r="K12" s="19" t="s">
        <v>57</v>
      </c>
      <c r="L12" s="21" t="s">
        <v>72</v>
      </c>
    </row>
    <row r="13" spans="2:12" ht="24.95" customHeight="1" x14ac:dyDescent="0.2">
      <c r="B13" s="3" t="s">
        <v>60</v>
      </c>
      <c r="C13" s="3" t="s">
        <v>61</v>
      </c>
      <c r="D13" s="4">
        <v>4.5</v>
      </c>
      <c r="F13" s="22" t="s">
        <v>60</v>
      </c>
      <c r="G13" s="23">
        <f>PRODUCT(L4,D13)</f>
        <v>373.5</v>
      </c>
      <c r="H13" s="24">
        <f>PRODUCT(H4,D13)</f>
        <v>124.5</v>
      </c>
      <c r="J13" s="9" t="s">
        <v>61</v>
      </c>
      <c r="K13" s="10">
        <f>SUM(C4:E4)</f>
        <v>83</v>
      </c>
      <c r="L13" s="11">
        <f>PRODUCT(K13,D13)</f>
        <v>373.5</v>
      </c>
    </row>
    <row r="14" spans="2:12" ht="24.95" customHeight="1" x14ac:dyDescent="0.2">
      <c r="B14" s="3" t="s">
        <v>62</v>
      </c>
      <c r="C14" s="3" t="s">
        <v>63</v>
      </c>
      <c r="D14" s="4">
        <v>5</v>
      </c>
      <c r="F14" s="9" t="s">
        <v>62</v>
      </c>
      <c r="G14" s="23">
        <f t="shared" ref="G14:G17" si="5">PRODUCT(L5,D14)</f>
        <v>300</v>
      </c>
      <c r="H14" s="24">
        <f t="shared" ref="H14:H17" si="6">PRODUCT(H5,D14)</f>
        <v>100</v>
      </c>
      <c r="J14" s="22" t="s">
        <v>63</v>
      </c>
      <c r="K14" s="10">
        <f t="shared" ref="K14:K17" si="7">SUM(C5:E5)</f>
        <v>60</v>
      </c>
      <c r="L14" s="11">
        <f t="shared" ref="L14:L17" si="8">PRODUCT(K14,D14)</f>
        <v>300</v>
      </c>
    </row>
    <row r="15" spans="2:12" ht="24.95" customHeight="1" x14ac:dyDescent="0.2">
      <c r="B15" s="3" t="s">
        <v>64</v>
      </c>
      <c r="C15" s="3" t="s">
        <v>65</v>
      </c>
      <c r="D15" s="4">
        <v>3.5</v>
      </c>
      <c r="F15" s="22" t="s">
        <v>64</v>
      </c>
      <c r="G15" s="23">
        <f t="shared" si="5"/>
        <v>161</v>
      </c>
      <c r="H15" s="24">
        <f t="shared" si="6"/>
        <v>53.666666666666671</v>
      </c>
      <c r="J15" s="9" t="s">
        <v>65</v>
      </c>
      <c r="K15" s="10">
        <f t="shared" si="7"/>
        <v>46</v>
      </c>
      <c r="L15" s="11">
        <f t="shared" si="8"/>
        <v>161</v>
      </c>
    </row>
    <row r="16" spans="2:12" ht="24.95" customHeight="1" x14ac:dyDescent="0.2">
      <c r="B16" s="3" t="s">
        <v>66</v>
      </c>
      <c r="C16" s="3" t="s">
        <v>67</v>
      </c>
      <c r="D16" s="4">
        <v>4</v>
      </c>
      <c r="F16" s="9" t="s">
        <v>66</v>
      </c>
      <c r="G16" s="23">
        <f t="shared" si="5"/>
        <v>228</v>
      </c>
      <c r="H16" s="24">
        <f t="shared" si="6"/>
        <v>76</v>
      </c>
      <c r="J16" s="22" t="s">
        <v>67</v>
      </c>
      <c r="K16" s="10">
        <f t="shared" si="7"/>
        <v>57</v>
      </c>
      <c r="L16" s="11">
        <f t="shared" si="8"/>
        <v>228</v>
      </c>
    </row>
    <row r="17" spans="2:12" ht="24.95" customHeight="1" x14ac:dyDescent="0.2">
      <c r="B17" s="3" t="s">
        <v>68</v>
      </c>
      <c r="C17" s="3" t="s">
        <v>69</v>
      </c>
      <c r="D17" s="4">
        <v>3.8</v>
      </c>
      <c r="F17" s="25" t="s">
        <v>68</v>
      </c>
      <c r="G17" s="23">
        <f t="shared" si="5"/>
        <v>269.8</v>
      </c>
      <c r="H17" s="24">
        <f t="shared" si="6"/>
        <v>89.933333333333337</v>
      </c>
      <c r="J17" s="13" t="s">
        <v>69</v>
      </c>
      <c r="K17" s="10">
        <f t="shared" si="7"/>
        <v>71</v>
      </c>
      <c r="L17" s="11">
        <f t="shared" si="8"/>
        <v>269.8</v>
      </c>
    </row>
  </sheetData>
  <mergeCells count="5">
    <mergeCell ref="B2:E2"/>
    <mergeCell ref="G2:L2"/>
    <mergeCell ref="B11:D11"/>
    <mergeCell ref="F11:H11"/>
    <mergeCell ref="J11:L1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Reenye</dc:creator>
  <cp:lastModifiedBy>REENYE ALEXANDRE DE LIMA</cp:lastModifiedBy>
  <dcterms:created xsi:type="dcterms:W3CDTF">2026-04-22T17:41:47Z</dcterms:created>
  <dcterms:modified xsi:type="dcterms:W3CDTF">2026-04-30T00:18:51Z</dcterms:modified>
</cp:coreProperties>
</file>