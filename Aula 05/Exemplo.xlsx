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enye\Documents\Excel-Basico\Aula 05\"/>
    </mc:Choice>
  </mc:AlternateContent>
  <xr:revisionPtr revIDLastSave="0" documentId="8_{FF983033-B0AC-4CC7-9D2F-766AE529ED24}" xr6:coauthVersionLast="47" xr6:coauthVersionMax="47" xr10:uidLastSave="{00000000-0000-0000-0000-000000000000}"/>
  <bookViews>
    <workbookView xWindow="-120" yWindow="-120" windowWidth="29040" windowHeight="15720" xr2:uid="{2A7A559C-408A-4EB0-ACEB-037D8B21BAB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4" i="1" l="1"/>
  <c r="H14" i="1"/>
  <c r="G14" i="1"/>
  <c r="F14" i="1"/>
  <c r="F3" i="1"/>
  <c r="D7" i="1"/>
  <c r="D6" i="1"/>
  <c r="D5" i="1"/>
</calcChain>
</file>

<file path=xl/sharedStrings.xml><?xml version="1.0" encoding="utf-8"?>
<sst xmlns="http://schemas.openxmlformats.org/spreadsheetml/2006/main" count="23" uniqueCount="23">
  <si>
    <t>Limite de Faltas</t>
  </si>
  <si>
    <t>Nome</t>
  </si>
  <si>
    <t>Nº Faltas</t>
  </si>
  <si>
    <t>Situação</t>
  </si>
  <si>
    <t>Fulano</t>
  </si>
  <si>
    <t>Beltrano</t>
  </si>
  <si>
    <t>Ciclano</t>
  </si>
  <si>
    <t>Gasolina</t>
  </si>
  <si>
    <t>Etanol</t>
  </si>
  <si>
    <t>Veículo</t>
  </si>
  <si>
    <t>Tipo Combustível</t>
  </si>
  <si>
    <t>Autonomia</t>
  </si>
  <si>
    <t>Distância</t>
  </si>
  <si>
    <t>Consumo</t>
  </si>
  <si>
    <t>Valor Gasto</t>
  </si>
  <si>
    <t>Carro 1</t>
  </si>
  <si>
    <t xml:space="preserve"> =SE(C14="Gasolina";F14*C10;F14*C11)</t>
  </si>
  <si>
    <t>F14 -&gt; Consumo</t>
  </si>
  <si>
    <t>C10 -&gt; Valor Gasolina</t>
  </si>
  <si>
    <t>C11 -&gt; Valor Etanol</t>
  </si>
  <si>
    <t>C14 -&gt; Tipo Combustivel</t>
  </si>
  <si>
    <t>Taxa de Reembolso</t>
  </si>
  <si>
    <t>GASOLINA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</si>
</sst>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44" fontId="0" fillId="0" borderId="1" xfId="1" applyFont="1" applyBorder="1"/>
    <xf numFmtId="2" fontId="0" fillId="0" borderId="0" xfId="0" applyNumberFormat="1"/>
    <xf numFmtId="44" fontId="0" fillId="0" borderId="0" xfId="0" applyNumberFormat="1"/>
    <xf numFmtId="0" fontId="2" fillId="0" borderId="0" xfId="0" applyFont="1"/>
    <xf numFmtId="0" fontId="3" fillId="0" borderId="0" xfId="0" applyFont="1"/>
    <xf numFmtId="9" fontId="0" fillId="0" borderId="0" xfId="2" applyNumberFormat="1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346A-27C3-4FC4-AAAA-100EFDFB02AF}">
  <dimension ref="B2:I20"/>
  <sheetViews>
    <sheetView tabSelected="1" topLeftCell="A3" zoomScale="240" zoomScaleNormal="240" workbookViewId="0">
      <selection activeCell="I14" sqref="I14"/>
    </sheetView>
  </sheetViews>
  <sheetFormatPr defaultRowHeight="15" x14ac:dyDescent="0.25"/>
  <cols>
    <col min="2" max="2" width="16.5703125" customWidth="1"/>
    <col min="3" max="3" width="16.42578125" bestFit="1" customWidth="1"/>
    <col min="4" max="4" width="19.42578125" customWidth="1"/>
    <col min="6" max="6" width="13.5703125" customWidth="1"/>
    <col min="7" max="7" width="18.28515625" customWidth="1"/>
    <col min="8" max="8" width="18.42578125" bestFit="1" customWidth="1"/>
    <col min="9" max="9" width="15.28515625" customWidth="1"/>
  </cols>
  <sheetData>
    <row r="2" spans="2:9" x14ac:dyDescent="0.25">
      <c r="B2" s="1" t="s">
        <v>0</v>
      </c>
      <c r="C2" s="1">
        <v>10</v>
      </c>
      <c r="F2" s="1">
        <v>0</v>
      </c>
    </row>
    <row r="3" spans="2:9" x14ac:dyDescent="0.25">
      <c r="F3" s="1" t="str">
        <f>IF(F2&gt;8,"É 'Maior","É Menor")</f>
        <v>É Menor</v>
      </c>
    </row>
    <row r="4" spans="2:9" x14ac:dyDescent="0.25">
      <c r="B4" s="1" t="s">
        <v>1</v>
      </c>
      <c r="C4" s="1" t="s">
        <v>2</v>
      </c>
      <c r="D4" s="1" t="s">
        <v>3</v>
      </c>
    </row>
    <row r="5" spans="2:9" x14ac:dyDescent="0.25">
      <c r="B5" s="1" t="s">
        <v>4</v>
      </c>
      <c r="C5" s="1">
        <v>2</v>
      </c>
      <c r="D5" s="1" t="str">
        <f>IF(C5&gt;=$C$2,"Excedeu de Faltas","Dentro do Limite")</f>
        <v>Dentro do Limite</v>
      </c>
    </row>
    <row r="6" spans="2:9" x14ac:dyDescent="0.25">
      <c r="B6" s="1" t="s">
        <v>5</v>
      </c>
      <c r="C6" s="1">
        <v>8</v>
      </c>
      <c r="D6" s="1" t="str">
        <f t="shared" ref="D6:D7" si="0">IF(C6&gt;=$C$2,"Excedeu de Faltas","Dentro do Limite")</f>
        <v>Dentro do Limite</v>
      </c>
    </row>
    <row r="7" spans="2:9" x14ac:dyDescent="0.25">
      <c r="B7" s="1" t="s">
        <v>6</v>
      </c>
      <c r="C7" s="1">
        <v>12</v>
      </c>
      <c r="D7" s="1" t="str">
        <f>IF(C7&gt;=$C$2,"Excedeu de Faltas","Dentro do Limite")</f>
        <v>Excedeu de Faltas</v>
      </c>
    </row>
    <row r="10" spans="2:9" x14ac:dyDescent="0.25">
      <c r="B10" s="1" t="s">
        <v>7</v>
      </c>
      <c r="C10" s="2">
        <v>6.79</v>
      </c>
    </row>
    <row r="11" spans="2:9" x14ac:dyDescent="0.25">
      <c r="B11" s="1" t="s">
        <v>8</v>
      </c>
      <c r="C11" s="2">
        <v>4.49</v>
      </c>
    </row>
    <row r="13" spans="2:9" x14ac:dyDescent="0.25"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21</v>
      </c>
    </row>
    <row r="14" spans="2:9" x14ac:dyDescent="0.25">
      <c r="B14" t="s">
        <v>15</v>
      </c>
      <c r="C14" t="s">
        <v>22</v>
      </c>
      <c r="D14">
        <v>13.8</v>
      </c>
      <c r="E14">
        <v>250</v>
      </c>
      <c r="F14" s="3">
        <f>E14/D14</f>
        <v>18.115942028985508</v>
      </c>
      <c r="G14" s="4">
        <f>IF(C14="Gasolina",F14*C10,F14*C11)</f>
        <v>123.00724637681159</v>
      </c>
      <c r="H14" s="7">
        <f>IF(C14="Gasolina",0.35,0.48)</f>
        <v>0.35</v>
      </c>
      <c r="I14" s="4">
        <f>G14+(G14*H14)</f>
        <v>166.05978260869566</v>
      </c>
    </row>
    <row r="16" spans="2:9" ht="31.5" x14ac:dyDescent="0.5">
      <c r="B16" s="6" t="s">
        <v>16</v>
      </c>
    </row>
    <row r="17" spans="2:2" ht="21" x14ac:dyDescent="0.35">
      <c r="B17" s="5" t="s">
        <v>17</v>
      </c>
    </row>
    <row r="18" spans="2:2" ht="21" x14ac:dyDescent="0.35">
      <c r="B18" s="5" t="s">
        <v>18</v>
      </c>
    </row>
    <row r="19" spans="2:2" ht="21" x14ac:dyDescent="0.35">
      <c r="B19" s="5" t="s">
        <v>19</v>
      </c>
    </row>
    <row r="20" spans="2:2" ht="21" x14ac:dyDescent="0.35">
      <c r="B20" s="5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REENYE ALEXANDRE DE LIMA</dc:creator>
  <cp:lastModifiedBy>REENYE ALEXANDRE DE LIMA</cp:lastModifiedBy>
  <dcterms:created xsi:type="dcterms:W3CDTF">2026-05-07T22:54:35Z</dcterms:created>
  <dcterms:modified xsi:type="dcterms:W3CDTF">2026-05-08T00:20:11Z</dcterms:modified>
</cp:coreProperties>
</file>