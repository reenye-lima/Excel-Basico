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enye\Documents\SENAI\Excel Básico\"/>
    </mc:Choice>
  </mc:AlternateContent>
  <xr:revisionPtr revIDLastSave="0" documentId="13_ncr:1_{9F34A9A8-1812-48CF-92F8-DD906BB9264C}" xr6:coauthVersionLast="47" xr6:coauthVersionMax="47" xr10:uidLastSave="{00000000-0000-0000-0000-000000000000}"/>
  <bookViews>
    <workbookView xWindow="-120" yWindow="-120" windowWidth="29040" windowHeight="15840" xr2:uid="{B567B384-5819-4886-A15D-EBE70B16415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9" i="1" l="1"/>
  <c r="C58" i="1"/>
  <c r="C37" i="1"/>
  <c r="C57" i="1"/>
  <c r="L7" i="1"/>
  <c r="L6" i="1"/>
  <c r="L5" i="1"/>
  <c r="L4" i="1"/>
  <c r="C56" i="1"/>
  <c r="H5" i="1"/>
  <c r="H6" i="1"/>
  <c r="H7" i="1"/>
  <c r="H8" i="1"/>
  <c r="H4" i="1"/>
  <c r="C51" i="1"/>
  <c r="C50" i="1"/>
  <c r="C45" i="1"/>
  <c r="C44" i="1"/>
  <c r="C40" i="1"/>
  <c r="C39" i="1"/>
  <c r="C38" i="1"/>
  <c r="C36" i="1"/>
  <c r="E29" i="1"/>
  <c r="E30" i="1"/>
  <c r="E31" i="1"/>
  <c r="E32" i="1"/>
  <c r="E28" i="1"/>
  <c r="D29" i="1"/>
  <c r="D30" i="1"/>
  <c r="D31" i="1"/>
  <c r="D32" i="1"/>
  <c r="D28" i="1"/>
  <c r="C29" i="1"/>
  <c r="C30" i="1"/>
  <c r="C31" i="1"/>
  <c r="C32" i="1"/>
  <c r="C28" i="1"/>
  <c r="B29" i="1"/>
  <c r="B30" i="1"/>
  <c r="B31" i="1"/>
  <c r="B32" i="1"/>
  <c r="B28" i="1"/>
  <c r="E51" i="1" l="1"/>
  <c r="D50" i="1"/>
  <c r="E50" i="1"/>
  <c r="D51" i="1"/>
</calcChain>
</file>

<file path=xl/sharedStrings.xml><?xml version="1.0" encoding="utf-8"?>
<sst xmlns="http://schemas.openxmlformats.org/spreadsheetml/2006/main" count="88" uniqueCount="76">
  <si>
    <t>Nome do Animal</t>
  </si>
  <si>
    <t>Espécie</t>
  </si>
  <si>
    <t>Peso (kg)</t>
  </si>
  <si>
    <t>Tipo de Atendimento</t>
  </si>
  <si>
    <t>Dias Internado</t>
  </si>
  <si>
    <t>rex</t>
  </si>
  <si>
    <t>cachorro</t>
  </si>
  <si>
    <t>consulta</t>
  </si>
  <si>
    <t>LUNA</t>
  </si>
  <si>
    <t>internação</t>
  </si>
  <si>
    <t>thor</t>
  </si>
  <si>
    <t>cirurgia</t>
  </si>
  <si>
    <t>nina</t>
  </si>
  <si>
    <t>BOB</t>
  </si>
  <si>
    <t>Código</t>
  </si>
  <si>
    <t>Dados dos PET</t>
  </si>
  <si>
    <t>Código Atendimento</t>
  </si>
  <si>
    <t>Código do PET</t>
  </si>
  <si>
    <t>Informações dos Atendimento</t>
  </si>
  <si>
    <t>Data do Atendimento</t>
  </si>
  <si>
    <t>Tabela de Valores</t>
  </si>
  <si>
    <t>Serviço</t>
  </si>
  <si>
    <t>Valor (R$)</t>
  </si>
  <si>
    <t>Consulta</t>
  </si>
  <si>
    <t>Internação</t>
  </si>
  <si>
    <t>Cirurgia</t>
  </si>
  <si>
    <t>CACHORRO</t>
  </si>
  <si>
    <t>GATO</t>
  </si>
  <si>
    <t>CachoRRO</t>
  </si>
  <si>
    <t>GAto</t>
  </si>
  <si>
    <t>joão alberto</t>
  </si>
  <si>
    <t>MARIA LURDES</t>
  </si>
  <si>
    <t>carlos ribeiro</t>
  </si>
  <si>
    <t>ana clara</t>
  </si>
  <si>
    <t>ROBERTO lúcio</t>
  </si>
  <si>
    <t>Responsável</t>
  </si>
  <si>
    <t>Despesa</t>
  </si>
  <si>
    <t>Data de Pagamento</t>
  </si>
  <si>
    <t>Aluguel</t>
  </si>
  <si>
    <t>Imobiliária</t>
  </si>
  <si>
    <t>Energia</t>
  </si>
  <si>
    <t>CPFL</t>
  </si>
  <si>
    <t>Água</t>
  </si>
  <si>
    <t>SANASA</t>
  </si>
  <si>
    <t>Internet</t>
  </si>
  <si>
    <t>Provedor X</t>
  </si>
  <si>
    <t>Despesas Fixas</t>
  </si>
  <si>
    <t>Diária</t>
  </si>
  <si>
    <t>Comissão dos Veterinários</t>
  </si>
  <si>
    <t>Data Nascimento</t>
  </si>
  <si>
    <t>Tabela 1 - Padronização</t>
  </si>
  <si>
    <t>Nome Maiúsculo</t>
  </si>
  <si>
    <t>Espécio Minúsculo</t>
  </si>
  <si>
    <t>Responsável Pri. Maiúscula</t>
  </si>
  <si>
    <t>Responsável e Animal</t>
  </si>
  <si>
    <t>Tabela 2 - Análise do Atendimentos</t>
  </si>
  <si>
    <t>Total de Atendimentos</t>
  </si>
  <si>
    <t>Total de Dias de Internação</t>
  </si>
  <si>
    <t>Média de Dias Internados</t>
  </si>
  <si>
    <t>Maior Período de Internação</t>
  </si>
  <si>
    <t>Menor Período de Internação</t>
  </si>
  <si>
    <t>Tabela 3 - Análise de Cadastros</t>
  </si>
  <si>
    <t>Total de Animais Cadastrados</t>
  </si>
  <si>
    <t>Todas de Responsáveis Cadastrados</t>
  </si>
  <si>
    <t>Tabela 4 - Análise por Espécies</t>
  </si>
  <si>
    <t>Cachorro</t>
  </si>
  <si>
    <t>Peso Médio</t>
  </si>
  <si>
    <t>Idade Média</t>
  </si>
  <si>
    <t>Animal Mais Velho</t>
  </si>
  <si>
    <t>Gato</t>
  </si>
  <si>
    <t>Idade</t>
  </si>
  <si>
    <t>Tabela 5 - Análise Financeira</t>
  </si>
  <si>
    <t>Total de Gastos</t>
  </si>
  <si>
    <t>Faturamento Total</t>
  </si>
  <si>
    <t>Lucro Final</t>
  </si>
  <si>
    <t>Faturamento (R$)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</si>
</sst>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7" formatCode="0.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14" fontId="4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44" fontId="0" fillId="0" borderId="1" xfId="1" applyFont="1" applyBorder="1" applyAlignment="1">
      <alignment horizontal="left"/>
    </xf>
    <xf numFmtId="44" fontId="0" fillId="0" borderId="1" xfId="1" applyFont="1" applyBorder="1" applyAlignment="1">
      <alignment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44" fontId="0" fillId="0" borderId="0" xfId="1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1" xfId="0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0" fillId="0" borderId="1" xfId="0" applyNumberFormat="1" applyBorder="1" applyAlignment="1">
      <alignment vertical="center" wrapText="1"/>
    </xf>
    <xf numFmtId="167" fontId="0" fillId="0" borderId="1" xfId="0" applyNumberFormat="1" applyBorder="1"/>
    <xf numFmtId="1" fontId="0" fillId="0" borderId="1" xfId="0" applyNumberFormat="1" applyBorder="1"/>
    <xf numFmtId="44" fontId="0" fillId="0" borderId="1" xfId="0" applyNumberFormat="1" applyBorder="1"/>
    <xf numFmtId="0" fontId="4" fillId="0" borderId="2" xfId="0" applyFont="1" applyBorder="1" applyAlignment="1">
      <alignment horizontal="left" vertical="center" wrapText="1"/>
    </xf>
    <xf numFmtId="9" fontId="0" fillId="0" borderId="2" xfId="0" applyNumberFormat="1" applyBorder="1"/>
    <xf numFmtId="0" fontId="3" fillId="0" borderId="1" xfId="0" applyFont="1" applyBorder="1" applyAlignment="1">
      <alignment horizontal="center" vertical="center" wrapText="1"/>
    </xf>
    <xf numFmtId="44" fontId="0" fillId="0" borderId="1" xfId="1" applyFont="1" applyFill="1" applyBorder="1" applyAlignment="1">
      <alignment horizontal="left"/>
    </xf>
  </cellXfs>
  <cellStyles count="2">
    <cellStyle name="Moeda" xfId="1" builtinId="4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95D98-415C-4126-90FF-5D9AAF780D0B}">
  <dimension ref="B1:N59"/>
  <sheetViews>
    <sheetView showGridLines="0" tabSelected="1" zoomScale="90" zoomScaleNormal="115" workbookViewId="0">
      <selection activeCell="H43" sqref="H43"/>
    </sheetView>
  </sheetViews>
  <sheetFormatPr defaultRowHeight="15" x14ac:dyDescent="0.25"/>
  <cols>
    <col min="2" max="2" width="34.140625" bestFit="1" customWidth="1"/>
    <col min="3" max="11" width="25.7109375" customWidth="1"/>
    <col min="12" max="12" width="20.42578125" customWidth="1"/>
    <col min="13" max="13" width="12.140625" bestFit="1" customWidth="1"/>
  </cols>
  <sheetData>
    <row r="1" spans="2:12" ht="29.25" customHeight="1" x14ac:dyDescent="0.25"/>
    <row r="2" spans="2:12" ht="20.100000000000001" customHeight="1" x14ac:dyDescent="0.25">
      <c r="B2" s="16" t="s">
        <v>15</v>
      </c>
      <c r="C2" s="16"/>
      <c r="D2" s="16"/>
      <c r="E2" s="16"/>
      <c r="F2" s="16"/>
      <c r="G2" s="16"/>
      <c r="H2" s="16"/>
      <c r="J2" s="26" t="s">
        <v>20</v>
      </c>
      <c r="K2" s="26"/>
      <c r="L2" s="26"/>
    </row>
    <row r="3" spans="2:12" ht="20.100000000000001" customHeight="1" x14ac:dyDescent="0.25">
      <c r="B3" s="1" t="s">
        <v>14</v>
      </c>
      <c r="C3" s="1" t="s">
        <v>0</v>
      </c>
      <c r="D3" s="1" t="s">
        <v>1</v>
      </c>
      <c r="E3" s="1" t="s">
        <v>35</v>
      </c>
      <c r="F3" s="1" t="s">
        <v>2</v>
      </c>
      <c r="G3" s="1" t="s">
        <v>49</v>
      </c>
      <c r="H3" s="1" t="s">
        <v>70</v>
      </c>
      <c r="J3" s="5" t="s">
        <v>21</v>
      </c>
      <c r="K3" s="5" t="s">
        <v>22</v>
      </c>
      <c r="L3" s="5" t="s">
        <v>75</v>
      </c>
    </row>
    <row r="4" spans="2:12" ht="20.100000000000001" customHeight="1" x14ac:dyDescent="0.25">
      <c r="B4" s="3">
        <v>1</v>
      </c>
      <c r="C4" s="2" t="s">
        <v>5</v>
      </c>
      <c r="D4" s="2" t="s">
        <v>26</v>
      </c>
      <c r="E4" s="2" t="s">
        <v>30</v>
      </c>
      <c r="F4" s="2">
        <v>20</v>
      </c>
      <c r="G4" s="4">
        <v>44265</v>
      </c>
      <c r="H4" s="20">
        <f ca="1">DATEDIF(G4,TODAY(),"Y")</f>
        <v>5</v>
      </c>
      <c r="J4" s="9" t="s">
        <v>23</v>
      </c>
      <c r="K4" s="10">
        <v>150</v>
      </c>
      <c r="L4" s="23">
        <f>5*K4</f>
        <v>750</v>
      </c>
    </row>
    <row r="5" spans="2:12" ht="20.100000000000001" customHeight="1" x14ac:dyDescent="0.25">
      <c r="B5" s="3">
        <v>2</v>
      </c>
      <c r="C5" s="2" t="s">
        <v>8</v>
      </c>
      <c r="D5" s="2" t="s">
        <v>29</v>
      </c>
      <c r="E5" s="2" t="s">
        <v>31</v>
      </c>
      <c r="F5" s="2">
        <v>4</v>
      </c>
      <c r="G5" s="4">
        <v>44795</v>
      </c>
      <c r="H5" s="20">
        <f t="shared" ref="H5:H8" ca="1" si="0">DATEDIF(G5,TODAY(),"Y")</f>
        <v>3</v>
      </c>
      <c r="J5" s="9" t="s">
        <v>24</v>
      </c>
      <c r="K5" s="10">
        <v>300</v>
      </c>
      <c r="L5" s="23">
        <f>3*K5</f>
        <v>900</v>
      </c>
    </row>
    <row r="6" spans="2:12" ht="20.100000000000001" customHeight="1" x14ac:dyDescent="0.25">
      <c r="B6" s="3">
        <v>3</v>
      </c>
      <c r="C6" s="2" t="s">
        <v>10</v>
      </c>
      <c r="D6" s="2" t="s">
        <v>6</v>
      </c>
      <c r="E6" s="2" t="s">
        <v>32</v>
      </c>
      <c r="F6" s="2">
        <v>25</v>
      </c>
      <c r="G6" s="4">
        <v>43845</v>
      </c>
      <c r="H6" s="20">
        <f t="shared" ca="1" si="0"/>
        <v>6</v>
      </c>
      <c r="J6" s="9" t="s">
        <v>25</v>
      </c>
      <c r="K6" s="10">
        <v>700</v>
      </c>
      <c r="L6" s="23">
        <f>2*K6</f>
        <v>1400</v>
      </c>
    </row>
    <row r="7" spans="2:12" ht="20.100000000000001" customHeight="1" x14ac:dyDescent="0.25">
      <c r="B7" s="3">
        <v>4</v>
      </c>
      <c r="C7" s="2" t="s">
        <v>12</v>
      </c>
      <c r="D7" s="2" t="s">
        <v>27</v>
      </c>
      <c r="E7" s="2" t="s">
        <v>33</v>
      </c>
      <c r="F7" s="2">
        <v>3</v>
      </c>
      <c r="G7" s="4">
        <v>45235</v>
      </c>
      <c r="H7" s="20">
        <f t="shared" ca="1" si="0"/>
        <v>2</v>
      </c>
      <c r="J7" s="9" t="s">
        <v>47</v>
      </c>
      <c r="K7" s="27">
        <v>95</v>
      </c>
      <c r="L7" s="23">
        <f>C36*K7</f>
        <v>950</v>
      </c>
    </row>
    <row r="8" spans="2:12" ht="20.100000000000001" customHeight="1" x14ac:dyDescent="0.25">
      <c r="B8" s="3">
        <v>5</v>
      </c>
      <c r="C8" s="2" t="s">
        <v>13</v>
      </c>
      <c r="D8" s="2" t="s">
        <v>28</v>
      </c>
      <c r="E8" s="2" t="s">
        <v>34</v>
      </c>
      <c r="F8" s="2">
        <v>30</v>
      </c>
      <c r="G8" s="4">
        <v>43646</v>
      </c>
      <c r="H8" s="20">
        <f t="shared" ca="1" si="0"/>
        <v>6</v>
      </c>
      <c r="J8" s="24" t="s">
        <v>48</v>
      </c>
      <c r="K8" s="25">
        <v>0.35</v>
      </c>
    </row>
    <row r="12" spans="2:12" ht="20.100000000000001" customHeight="1" x14ac:dyDescent="0.25">
      <c r="B12" s="16" t="s">
        <v>18</v>
      </c>
      <c r="C12" s="16"/>
      <c r="D12" s="16"/>
      <c r="E12" s="16"/>
      <c r="F12" s="16"/>
      <c r="H12" s="16" t="s">
        <v>46</v>
      </c>
      <c r="I12" s="16"/>
      <c r="J12" s="16"/>
      <c r="K12" s="16"/>
      <c r="L12" s="16"/>
    </row>
    <row r="13" spans="2:12" ht="20.100000000000001" customHeight="1" x14ac:dyDescent="0.25">
      <c r="B13" s="5" t="s">
        <v>16</v>
      </c>
      <c r="C13" s="5" t="s">
        <v>17</v>
      </c>
      <c r="D13" s="5" t="s">
        <v>3</v>
      </c>
      <c r="E13" s="5" t="s">
        <v>4</v>
      </c>
      <c r="F13" s="5" t="s">
        <v>19</v>
      </c>
      <c r="H13" s="1" t="s">
        <v>14</v>
      </c>
      <c r="I13" s="1" t="s">
        <v>36</v>
      </c>
      <c r="J13" s="1" t="s">
        <v>35</v>
      </c>
      <c r="K13" s="1" t="s">
        <v>37</v>
      </c>
      <c r="L13" s="1" t="s">
        <v>22</v>
      </c>
    </row>
    <row r="14" spans="2:12" ht="20.100000000000001" customHeight="1" x14ac:dyDescent="0.25">
      <c r="B14" s="8">
        <v>1</v>
      </c>
      <c r="C14" s="8">
        <v>1</v>
      </c>
      <c r="D14" s="6" t="s">
        <v>7</v>
      </c>
      <c r="E14" s="6">
        <v>0</v>
      </c>
      <c r="F14" s="7">
        <v>46117</v>
      </c>
      <c r="H14" s="15">
        <v>1</v>
      </c>
      <c r="I14" s="2" t="s">
        <v>38</v>
      </c>
      <c r="J14" s="2" t="s">
        <v>39</v>
      </c>
      <c r="K14" s="4">
        <v>46117</v>
      </c>
      <c r="L14" s="11">
        <v>2500</v>
      </c>
    </row>
    <row r="15" spans="2:12" ht="20.100000000000001" customHeight="1" x14ac:dyDescent="0.25">
      <c r="B15" s="8">
        <v>2</v>
      </c>
      <c r="C15" s="8">
        <v>2</v>
      </c>
      <c r="D15" s="6" t="s">
        <v>9</v>
      </c>
      <c r="E15" s="6">
        <v>3</v>
      </c>
      <c r="F15" s="7">
        <v>46118</v>
      </c>
      <c r="H15" s="15">
        <v>2</v>
      </c>
      <c r="I15" s="2" t="s">
        <v>40</v>
      </c>
      <c r="J15" s="2" t="s">
        <v>41</v>
      </c>
      <c r="K15" s="4">
        <v>46120</v>
      </c>
      <c r="L15" s="11">
        <v>650</v>
      </c>
    </row>
    <row r="16" spans="2:12" ht="20.100000000000001" customHeight="1" x14ac:dyDescent="0.25">
      <c r="B16" s="8">
        <v>3</v>
      </c>
      <c r="C16" s="8">
        <v>3</v>
      </c>
      <c r="D16" s="6" t="s">
        <v>11</v>
      </c>
      <c r="E16" s="6">
        <v>5</v>
      </c>
      <c r="F16" s="7">
        <v>46119</v>
      </c>
      <c r="H16" s="15">
        <v>3</v>
      </c>
      <c r="I16" s="2" t="s">
        <v>42</v>
      </c>
      <c r="J16" s="2" t="s">
        <v>43</v>
      </c>
      <c r="K16" s="4">
        <v>46122</v>
      </c>
      <c r="L16" s="11">
        <v>280</v>
      </c>
    </row>
    <row r="17" spans="2:14" ht="20.100000000000001" customHeight="1" x14ac:dyDescent="0.25">
      <c r="B17" s="8">
        <v>4</v>
      </c>
      <c r="C17" s="8">
        <v>4</v>
      </c>
      <c r="D17" s="6" t="s">
        <v>7</v>
      </c>
      <c r="E17" s="6">
        <v>0</v>
      </c>
      <c r="F17" s="7">
        <v>46120</v>
      </c>
      <c r="H17" s="15">
        <v>4</v>
      </c>
      <c r="I17" s="2" t="s">
        <v>44</v>
      </c>
      <c r="J17" s="2" t="s">
        <v>45</v>
      </c>
      <c r="K17" s="4">
        <v>46124</v>
      </c>
      <c r="L17" s="11">
        <v>120</v>
      </c>
    </row>
    <row r="18" spans="2:14" ht="20.100000000000001" customHeight="1" x14ac:dyDescent="0.25">
      <c r="B18" s="8">
        <v>5</v>
      </c>
      <c r="C18" s="8">
        <v>5</v>
      </c>
      <c r="D18" s="6" t="s">
        <v>9</v>
      </c>
      <c r="E18" s="6">
        <v>2</v>
      </c>
      <c r="F18" s="7">
        <v>46121</v>
      </c>
    </row>
    <row r="19" spans="2:14" ht="20.100000000000001" customHeight="1" x14ac:dyDescent="0.25">
      <c r="B19" s="8">
        <v>6</v>
      </c>
      <c r="C19" s="8">
        <v>1</v>
      </c>
      <c r="D19" s="6" t="s">
        <v>7</v>
      </c>
      <c r="E19" s="6">
        <v>0</v>
      </c>
      <c r="F19" s="7">
        <v>46124</v>
      </c>
      <c r="I19" s="12"/>
      <c r="J19" s="12"/>
      <c r="K19" s="12"/>
      <c r="L19" s="13"/>
      <c r="M19" s="14"/>
    </row>
    <row r="20" spans="2:14" ht="20.100000000000001" customHeight="1" x14ac:dyDescent="0.25">
      <c r="B20" s="8">
        <v>7</v>
      </c>
      <c r="C20" s="8">
        <v>2</v>
      </c>
      <c r="D20" s="6" t="s">
        <v>7</v>
      </c>
      <c r="E20" s="6">
        <v>0</v>
      </c>
      <c r="F20" s="7">
        <v>46125</v>
      </c>
    </row>
    <row r="21" spans="2:14" ht="20.100000000000001" customHeight="1" x14ac:dyDescent="0.25">
      <c r="B21" s="8">
        <v>8</v>
      </c>
      <c r="C21" s="8">
        <v>3</v>
      </c>
      <c r="D21" s="6" t="s">
        <v>9</v>
      </c>
      <c r="E21" s="6">
        <v>2</v>
      </c>
      <c r="F21" s="7">
        <v>46127</v>
      </c>
    </row>
    <row r="22" spans="2:14" ht="20.100000000000001" customHeight="1" x14ac:dyDescent="0.25">
      <c r="B22" s="8">
        <v>9</v>
      </c>
      <c r="C22" s="8">
        <v>4</v>
      </c>
      <c r="D22" s="6" t="s">
        <v>11</v>
      </c>
      <c r="E22" s="6">
        <v>4</v>
      </c>
      <c r="F22" s="7">
        <v>46128</v>
      </c>
    </row>
    <row r="23" spans="2:14" ht="20.100000000000001" customHeight="1" x14ac:dyDescent="0.25">
      <c r="B23" s="8">
        <v>10</v>
      </c>
      <c r="C23" s="8">
        <v>5</v>
      </c>
      <c r="D23" s="6" t="s">
        <v>7</v>
      </c>
      <c r="E23" s="6">
        <v>0</v>
      </c>
      <c r="F23" s="7">
        <v>46130</v>
      </c>
    </row>
    <row r="26" spans="2:14" ht="20.100000000000001" customHeight="1" x14ac:dyDescent="0.25">
      <c r="B26" s="18" t="s">
        <v>50</v>
      </c>
      <c r="C26" s="18"/>
      <c r="D26" s="18"/>
      <c r="E26" s="18"/>
      <c r="J26" s="12"/>
      <c r="K26" s="12"/>
      <c r="L26" s="12"/>
      <c r="M26" s="13"/>
      <c r="N26" s="14"/>
    </row>
    <row r="27" spans="2:14" ht="20.100000000000001" customHeight="1" x14ac:dyDescent="0.25">
      <c r="B27" s="19" t="s">
        <v>51</v>
      </c>
      <c r="C27" s="19" t="s">
        <v>52</v>
      </c>
      <c r="D27" s="19" t="s">
        <v>53</v>
      </c>
      <c r="E27" s="19" t="s">
        <v>54</v>
      </c>
    </row>
    <row r="28" spans="2:14" ht="20.100000000000001" customHeight="1" x14ac:dyDescent="0.25">
      <c r="B28" s="17" t="str">
        <f>UPPER(C4)</f>
        <v>REX</v>
      </c>
      <c r="C28" s="17" t="str">
        <f>LOWER(D4)</f>
        <v>cachorro</v>
      </c>
      <c r="D28" s="17" t="str">
        <f>PROPER(E4)</f>
        <v>João Alberto</v>
      </c>
      <c r="E28" s="17" t="str">
        <f>_xlfn.TEXTJOIN(" - ",TRUE,D28,B28)</f>
        <v>João Alberto - REX</v>
      </c>
    </row>
    <row r="29" spans="2:14" ht="20.100000000000001" customHeight="1" x14ac:dyDescent="0.25">
      <c r="B29" s="17" t="str">
        <f t="shared" ref="B29:B32" si="1">UPPER(C5)</f>
        <v>LUNA</v>
      </c>
      <c r="C29" s="17" t="str">
        <f t="shared" ref="C29:C32" si="2">LOWER(D5)</f>
        <v>gato</v>
      </c>
      <c r="D29" s="17" t="str">
        <f t="shared" ref="D29:D32" si="3">PROPER(E5)</f>
        <v>Maria Lurdes</v>
      </c>
      <c r="E29" s="17" t="str">
        <f t="shared" ref="E29:E32" si="4">_xlfn.TEXTJOIN(" - ",TRUE,D29,B29)</f>
        <v>Maria Lurdes - LUNA</v>
      </c>
    </row>
    <row r="30" spans="2:14" ht="20.100000000000001" customHeight="1" x14ac:dyDescent="0.25">
      <c r="B30" s="17" t="str">
        <f t="shared" si="1"/>
        <v>THOR</v>
      </c>
      <c r="C30" s="17" t="str">
        <f t="shared" si="2"/>
        <v>cachorro</v>
      </c>
      <c r="D30" s="17" t="str">
        <f t="shared" si="3"/>
        <v>Carlos Ribeiro</v>
      </c>
      <c r="E30" s="17" t="str">
        <f t="shared" si="4"/>
        <v>Carlos Ribeiro - THOR</v>
      </c>
    </row>
    <row r="31" spans="2:14" ht="20.100000000000001" customHeight="1" x14ac:dyDescent="0.25">
      <c r="B31" s="17" t="str">
        <f t="shared" si="1"/>
        <v>NINA</v>
      </c>
      <c r="C31" s="17" t="str">
        <f t="shared" si="2"/>
        <v>gato</v>
      </c>
      <c r="D31" s="17" t="str">
        <f t="shared" si="3"/>
        <v>Ana Clara</v>
      </c>
      <c r="E31" s="17" t="str">
        <f t="shared" si="4"/>
        <v>Ana Clara - NINA</v>
      </c>
    </row>
    <row r="32" spans="2:14" ht="20.100000000000001" customHeight="1" x14ac:dyDescent="0.25">
      <c r="B32" s="17" t="str">
        <f t="shared" si="1"/>
        <v>BOB</v>
      </c>
      <c r="C32" s="17" t="str">
        <f t="shared" si="2"/>
        <v>cachorro</v>
      </c>
      <c r="D32" s="17" t="str">
        <f t="shared" si="3"/>
        <v>Roberto Lúcio</v>
      </c>
      <c r="E32" s="17" t="str">
        <f t="shared" si="4"/>
        <v>Roberto Lúcio - BOB</v>
      </c>
    </row>
    <row r="35" spans="2:5" ht="20.100000000000001" customHeight="1" x14ac:dyDescent="0.25">
      <c r="B35" s="18" t="s">
        <v>55</v>
      </c>
      <c r="C35" s="18"/>
    </row>
    <row r="36" spans="2:5" ht="20.100000000000001" customHeight="1" x14ac:dyDescent="0.25">
      <c r="B36" s="17" t="s">
        <v>56</v>
      </c>
      <c r="C36" s="17">
        <f>COUNTA(B14:B23)</f>
        <v>10</v>
      </c>
    </row>
    <row r="37" spans="2:5" ht="20.100000000000001" customHeight="1" x14ac:dyDescent="0.25">
      <c r="B37" s="17" t="s">
        <v>57</v>
      </c>
      <c r="C37" s="17">
        <f>SUM(E14:E23)</f>
        <v>16</v>
      </c>
    </row>
    <row r="38" spans="2:5" ht="20.100000000000001" customHeight="1" x14ac:dyDescent="0.25">
      <c r="B38" s="17" t="s">
        <v>58</v>
      </c>
      <c r="C38" s="17">
        <f>AVERAGE(E14:E23)</f>
        <v>1.6</v>
      </c>
    </row>
    <row r="39" spans="2:5" ht="20.100000000000001" customHeight="1" x14ac:dyDescent="0.25">
      <c r="B39" s="17" t="s">
        <v>59</v>
      </c>
      <c r="C39" s="17">
        <f>LARGE(E14:E23,1)</f>
        <v>5</v>
      </c>
    </row>
    <row r="40" spans="2:5" ht="20.100000000000001" customHeight="1" x14ac:dyDescent="0.25">
      <c r="B40" s="17" t="s">
        <v>60</v>
      </c>
      <c r="C40" s="17">
        <f>SMALL(E14:E23,6)</f>
        <v>2</v>
      </c>
    </row>
    <row r="43" spans="2:5" ht="20.100000000000001" customHeight="1" x14ac:dyDescent="0.25">
      <c r="B43" s="18" t="s">
        <v>61</v>
      </c>
      <c r="C43" s="18"/>
    </row>
    <row r="44" spans="2:5" ht="20.100000000000001" customHeight="1" x14ac:dyDescent="0.25">
      <c r="B44" s="17" t="s">
        <v>62</v>
      </c>
      <c r="C44" s="17">
        <f>COUNTA(C4:C8)</f>
        <v>5</v>
      </c>
    </row>
    <row r="45" spans="2:5" ht="20.100000000000001" customHeight="1" x14ac:dyDescent="0.25">
      <c r="B45" s="17" t="s">
        <v>63</v>
      </c>
      <c r="C45" s="17">
        <f>COUNTA(E4:E8)</f>
        <v>5</v>
      </c>
    </row>
    <row r="48" spans="2:5" ht="20.100000000000001" customHeight="1" x14ac:dyDescent="0.25">
      <c r="B48" s="18" t="s">
        <v>64</v>
      </c>
      <c r="C48" s="18"/>
      <c r="D48" s="18"/>
      <c r="E48" s="18"/>
    </row>
    <row r="49" spans="2:5" ht="20.100000000000001" customHeight="1" x14ac:dyDescent="0.25">
      <c r="B49" s="19" t="s">
        <v>1</v>
      </c>
      <c r="C49" s="19" t="s">
        <v>66</v>
      </c>
      <c r="D49" s="19" t="s">
        <v>67</v>
      </c>
      <c r="E49" s="19" t="s">
        <v>68</v>
      </c>
    </row>
    <row r="50" spans="2:5" ht="20.100000000000001" customHeight="1" x14ac:dyDescent="0.25">
      <c r="B50" s="17" t="s">
        <v>65</v>
      </c>
      <c r="C50" s="21">
        <f>AVERAGE(F4,F6,F8)</f>
        <v>25</v>
      </c>
      <c r="D50" s="21">
        <f ca="1">AVERAGE(H4,H6,H8)</f>
        <v>5.666666666666667</v>
      </c>
      <c r="E50" s="22">
        <f ca="1">MAX(H4,H6,H8)</f>
        <v>6</v>
      </c>
    </row>
    <row r="51" spans="2:5" ht="20.100000000000001" customHeight="1" x14ac:dyDescent="0.25">
      <c r="B51" s="17" t="s">
        <v>69</v>
      </c>
      <c r="C51" s="17">
        <f>AVERAGE(F5,F7)</f>
        <v>3.5</v>
      </c>
      <c r="D51" s="21">
        <f ca="1">AVERAGE(H5,H7)</f>
        <v>2.5</v>
      </c>
      <c r="E51" s="22">
        <f ca="1">MAX(H5,H7)</f>
        <v>3</v>
      </c>
    </row>
    <row r="55" spans="2:5" ht="20.100000000000001" customHeight="1" x14ac:dyDescent="0.25">
      <c r="B55" s="18" t="s">
        <v>71</v>
      </c>
      <c r="C55" s="18"/>
    </row>
    <row r="56" spans="2:5" ht="20.100000000000001" customHeight="1" x14ac:dyDescent="0.25">
      <c r="B56" s="17" t="s">
        <v>72</v>
      </c>
      <c r="C56" s="23">
        <f>SUM(L14:L17)</f>
        <v>3550</v>
      </c>
    </row>
    <row r="57" spans="2:5" ht="20.100000000000001" customHeight="1" x14ac:dyDescent="0.25">
      <c r="B57" s="17" t="s">
        <v>73</v>
      </c>
      <c r="C57" s="23">
        <f>SUM(L4:L7)</f>
        <v>4000</v>
      </c>
    </row>
    <row r="58" spans="2:5" ht="20.100000000000001" customHeight="1" x14ac:dyDescent="0.25">
      <c r="B58" s="17" t="s">
        <v>48</v>
      </c>
      <c r="C58" s="23">
        <f>C57*K8</f>
        <v>1400</v>
      </c>
    </row>
    <row r="59" spans="2:5" ht="20.100000000000001" customHeight="1" x14ac:dyDescent="0.25">
      <c r="B59" s="17" t="s">
        <v>74</v>
      </c>
      <c r="C59" s="23">
        <f>C57-(C56+C58)</f>
        <v>-950</v>
      </c>
    </row>
  </sheetData>
  <mergeCells count="9">
    <mergeCell ref="B55:C55"/>
    <mergeCell ref="J2:L2"/>
    <mergeCell ref="B35:C35"/>
    <mergeCell ref="B43:C43"/>
    <mergeCell ref="B48:E48"/>
    <mergeCell ref="B2:H2"/>
    <mergeCell ref="B12:F12"/>
    <mergeCell ref="H12:L12"/>
    <mergeCell ref="B26:E26"/>
  </mergeCells>
  <conditionalFormatting sqref="C59">
    <cfRule type="cellIs" dxfId="0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Reenye</dc:creator>
  <cp:lastModifiedBy>Reenye Lima</cp:lastModifiedBy>
  <dcterms:created xsi:type="dcterms:W3CDTF">2026-04-30T17:16:06Z</dcterms:created>
  <dcterms:modified xsi:type="dcterms:W3CDTF">2026-05-07T22:38:56Z</dcterms:modified>
</cp:coreProperties>
</file>